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mch\OneDrive\Desktop\"/>
    </mc:Choice>
  </mc:AlternateContent>
  <xr:revisionPtr revIDLastSave="0" documentId="13_ncr:1_{44A8BC87-7A43-4C81-A60F-BE93A8A6EBCD}" xr6:coauthVersionLast="47" xr6:coauthVersionMax="47" xr10:uidLastSave="{00000000-0000-0000-0000-000000000000}"/>
  <bookViews>
    <workbookView xWindow="-120" yWindow="-120" windowWidth="29040" windowHeight="15720" xr2:uid="{6D01117E-E65E-4578-A480-3F4AC8A29C66}"/>
  </bookViews>
  <sheets>
    <sheet name="Workday" sheetId="1" r:id="rId1"/>
    <sheet name="Public holiday" sheetId="4" r:id="rId2"/>
  </sheets>
  <definedNames>
    <definedName name="ExternalData_2" localSheetId="1" hidden="1">'Public holiday'!$A$1:$C$18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4" l="1" a="1"/>
  <c r="D2" i="4" s="1"/>
  <c r="D3" i="4" a="1"/>
  <c r="D3" i="4" s="1"/>
  <c r="D4" i="4" a="1"/>
  <c r="D4" i="4" s="1"/>
  <c r="D5" i="4" a="1"/>
  <c r="D5" i="4"/>
  <c r="D6" i="4" a="1"/>
  <c r="D6" i="4"/>
  <c r="D7" i="4" a="1"/>
  <c r="D7" i="4" s="1"/>
  <c r="D8" i="4" a="1"/>
  <c r="D8" i="4" s="1"/>
  <c r="D9" i="4" a="1"/>
  <c r="D9" i="4"/>
  <c r="D10" i="4" a="1"/>
  <c r="D10" i="4" s="1"/>
  <c r="D11" i="4" a="1"/>
  <c r="D11" i="4" s="1"/>
  <c r="D12" i="4" a="1"/>
  <c r="D12" i="4" s="1"/>
  <c r="D13" i="4" a="1"/>
  <c r="D13" i="4" s="1"/>
  <c r="G13" i="4" s="1"/>
  <c r="D14" i="4" a="1"/>
  <c r="D14" i="4" s="1"/>
  <c r="G14" i="4" s="1"/>
  <c r="D15" i="4" a="1"/>
  <c r="D15" i="4" s="1"/>
  <c r="D16" i="4" a="1"/>
  <c r="D16" i="4" s="1"/>
  <c r="D17" i="4" a="1"/>
  <c r="D17" i="4"/>
  <c r="D18" i="4" a="1"/>
  <c r="D18" i="4" s="1"/>
  <c r="E2" i="4"/>
  <c r="E3" i="4"/>
  <c r="E4" i="4"/>
  <c r="E5" i="4"/>
  <c r="E6" i="4"/>
  <c r="G6" i="4" s="1"/>
  <c r="E7" i="4"/>
  <c r="E8" i="4"/>
  <c r="E9" i="4"/>
  <c r="E10" i="4"/>
  <c r="E11" i="4"/>
  <c r="E12" i="4"/>
  <c r="E13" i="4"/>
  <c r="E14" i="4"/>
  <c r="E15" i="4"/>
  <c r="E16" i="4"/>
  <c r="E17" i="4"/>
  <c r="E18" i="4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G2" i="1"/>
  <c r="E3" i="1"/>
  <c r="G12" i="4" l="1"/>
  <c r="G11" i="4"/>
  <c r="G10" i="4"/>
  <c r="G9" i="4"/>
  <c r="G8" i="4"/>
  <c r="G5" i="4"/>
  <c r="G7" i="4"/>
  <c r="G18" i="4"/>
  <c r="G17" i="4"/>
  <c r="G4" i="4"/>
  <c r="G16" i="4"/>
  <c r="G3" i="4"/>
  <c r="G15" i="4"/>
  <c r="G2" i="4"/>
  <c r="A145" i="1"/>
  <c r="B145" i="1" s="1"/>
  <c r="A244" i="1" l="1"/>
  <c r="B244" i="1" s="1"/>
  <c r="A127" i="1"/>
  <c r="B127" i="1" s="1"/>
  <c r="A212" i="1"/>
  <c r="B212" i="1" s="1"/>
  <c r="A207" i="1"/>
  <c r="B207" i="1" s="1"/>
  <c r="A211" i="1"/>
  <c r="B211" i="1" s="1"/>
  <c r="A129" i="1"/>
  <c r="B129" i="1" s="1"/>
  <c r="A162" i="1"/>
  <c r="B162" i="1" s="1"/>
  <c r="A179" i="1"/>
  <c r="B179" i="1" s="1"/>
  <c r="A228" i="1"/>
  <c r="B228" i="1" s="1"/>
  <c r="A245" i="1"/>
  <c r="B245" i="1" s="1"/>
  <c r="A16" i="1"/>
  <c r="B16" i="1" s="1"/>
  <c r="A152" i="1"/>
  <c r="B152" i="1" s="1"/>
  <c r="A44" i="1"/>
  <c r="B44" i="1" s="1"/>
  <c r="A227" i="1"/>
  <c r="B227" i="1" s="1"/>
  <c r="A243" i="1"/>
  <c r="B243" i="1" s="1"/>
  <c r="A50" i="1"/>
  <c r="B50" i="1" s="1"/>
  <c r="A84" i="1"/>
  <c r="B84" i="1" s="1"/>
  <c r="A135" i="1"/>
  <c r="B135" i="1" s="1"/>
  <c r="A41" i="1"/>
  <c r="B41" i="1" s="1"/>
  <c r="A260" i="1"/>
  <c r="B260" i="1" s="1"/>
  <c r="A35" i="1"/>
  <c r="B35" i="1" s="1"/>
  <c r="A100" i="1"/>
  <c r="B100" i="1" s="1"/>
  <c r="A151" i="1"/>
  <c r="B151" i="1" s="1"/>
  <c r="A57" i="1"/>
  <c r="B57" i="1" s="1"/>
  <c r="A103" i="1"/>
  <c r="B103" i="1" s="1"/>
  <c r="A209" i="1"/>
  <c r="B209" i="1" s="1"/>
  <c r="A225" i="1"/>
  <c r="B225" i="1" s="1"/>
  <c r="A258" i="1"/>
  <c r="B258" i="1" s="1"/>
  <c r="A191" i="1"/>
  <c r="B191" i="1" s="1"/>
  <c r="A21" i="1"/>
  <c r="B21" i="1" s="1"/>
  <c r="A6" i="1"/>
  <c r="B6" i="1" s="1"/>
  <c r="A167" i="1"/>
  <c r="B167" i="1" s="1"/>
  <c r="A73" i="1"/>
  <c r="B73" i="1" s="1"/>
  <c r="A194" i="1"/>
  <c r="B194" i="1" s="1"/>
  <c r="A63" i="1"/>
  <c r="B63" i="1" s="1"/>
  <c r="A242" i="1"/>
  <c r="B242" i="1" s="1"/>
  <c r="A241" i="1"/>
  <c r="B241" i="1" s="1"/>
  <c r="A111" i="1"/>
  <c r="B111" i="1" s="1"/>
  <c r="A224" i="1"/>
  <c r="B224" i="1" s="1"/>
  <c r="A69" i="1"/>
  <c r="B69" i="1" s="1"/>
  <c r="A22" i="1"/>
  <c r="B22" i="1" s="1"/>
  <c r="A183" i="1"/>
  <c r="B183" i="1" s="1"/>
  <c r="A96" i="1"/>
  <c r="B96" i="1" s="1"/>
  <c r="A184" i="1"/>
  <c r="B184" i="1" s="1"/>
  <c r="A25" i="1"/>
  <c r="B25" i="1" s="1"/>
  <c r="A15" i="1"/>
  <c r="B15" i="1" s="1"/>
  <c r="A128" i="1"/>
  <c r="B128" i="1" s="1"/>
  <c r="A257" i="1"/>
  <c r="B257" i="1" s="1"/>
  <c r="A80" i="1"/>
  <c r="B80" i="1" s="1"/>
  <c r="A19" i="1"/>
  <c r="B19" i="1" s="1"/>
  <c r="A85" i="1"/>
  <c r="B85" i="1" s="1"/>
  <c r="A38" i="1"/>
  <c r="B38" i="1" s="1"/>
  <c r="A199" i="1"/>
  <c r="B199" i="1" s="1"/>
  <c r="A10" i="1"/>
  <c r="B10" i="1" s="1"/>
  <c r="A195" i="1"/>
  <c r="B195" i="1" s="1"/>
  <c r="A9" i="1"/>
  <c r="B9" i="1" s="1"/>
  <c r="A259" i="1"/>
  <c r="B259" i="1" s="1"/>
  <c r="A255" i="1"/>
  <c r="B255" i="1" s="1"/>
  <c r="A17" i="1"/>
  <c r="B17" i="1" s="1"/>
  <c r="A95" i="1"/>
  <c r="B95" i="1" s="1"/>
  <c r="A18" i="1"/>
  <c r="B18" i="1" s="1"/>
  <c r="A68" i="1"/>
  <c r="B68" i="1" s="1"/>
  <c r="A101" i="1"/>
  <c r="B101" i="1" s="1"/>
  <c r="A70" i="1"/>
  <c r="B70" i="1" s="1"/>
  <c r="A231" i="1"/>
  <c r="B231" i="1" s="1"/>
  <c r="A58" i="1"/>
  <c r="B58" i="1" s="1"/>
  <c r="A161" i="1"/>
  <c r="B161" i="1" s="1"/>
  <c r="A36" i="1"/>
  <c r="B36" i="1" s="1"/>
  <c r="A112" i="1"/>
  <c r="B112" i="1" s="1"/>
  <c r="A51" i="1"/>
  <c r="B51" i="1" s="1"/>
  <c r="A132" i="1"/>
  <c r="B132" i="1" s="1"/>
  <c r="A117" i="1"/>
  <c r="B117" i="1" s="1"/>
  <c r="A198" i="1"/>
  <c r="B198" i="1" s="1"/>
  <c r="A56" i="1"/>
  <c r="B56" i="1" s="1"/>
  <c r="A74" i="1"/>
  <c r="B74" i="1" s="1"/>
  <c r="A210" i="1"/>
  <c r="B210" i="1" s="1"/>
  <c r="A49" i="1"/>
  <c r="B49" i="1" s="1"/>
  <c r="A99" i="1"/>
  <c r="B99" i="1" s="1"/>
  <c r="A148" i="1"/>
  <c r="B148" i="1" s="1"/>
  <c r="A133" i="1"/>
  <c r="B133" i="1" s="1"/>
  <c r="A214" i="1"/>
  <c r="B214" i="1" s="1"/>
  <c r="A72" i="1"/>
  <c r="B72" i="1" s="1"/>
  <c r="A90" i="1"/>
  <c r="B90" i="1" s="1"/>
  <c r="A177" i="1"/>
  <c r="B177" i="1" s="1"/>
  <c r="A33" i="1"/>
  <c r="B33" i="1" s="1"/>
  <c r="A98" i="1"/>
  <c r="B98" i="1" s="1"/>
  <c r="A115" i="1"/>
  <c r="B115" i="1" s="1"/>
  <c r="A164" i="1"/>
  <c r="B164" i="1" s="1"/>
  <c r="A149" i="1"/>
  <c r="B149" i="1" s="1"/>
  <c r="A230" i="1"/>
  <c r="B230" i="1" s="1"/>
  <c r="A88" i="1"/>
  <c r="B88" i="1" s="1"/>
  <c r="A139" i="1"/>
  <c r="B139" i="1" s="1"/>
  <c r="A82" i="1"/>
  <c r="B82" i="1" s="1"/>
  <c r="A119" i="1"/>
  <c r="B119" i="1" s="1"/>
  <c r="A34" i="1"/>
  <c r="B34" i="1" s="1"/>
  <c r="A81" i="1"/>
  <c r="B81" i="1" s="1"/>
  <c r="A114" i="1"/>
  <c r="B114" i="1" s="1"/>
  <c r="A131" i="1"/>
  <c r="B131" i="1" s="1"/>
  <c r="A180" i="1"/>
  <c r="B180" i="1" s="1"/>
  <c r="A165" i="1"/>
  <c r="B165" i="1" s="1"/>
  <c r="A246" i="1"/>
  <c r="B246" i="1" s="1"/>
  <c r="A104" i="1"/>
  <c r="B104" i="1" s="1"/>
  <c r="A155" i="1"/>
  <c r="B155" i="1" s="1"/>
  <c r="A178" i="1"/>
  <c r="B178" i="1" s="1"/>
  <c r="A226" i="1"/>
  <c r="B226" i="1" s="1"/>
  <c r="A65" i="1"/>
  <c r="B65" i="1" s="1"/>
  <c r="A97" i="1"/>
  <c r="B97" i="1" s="1"/>
  <c r="A130" i="1"/>
  <c r="B130" i="1" s="1"/>
  <c r="A147" i="1"/>
  <c r="B147" i="1" s="1"/>
  <c r="A196" i="1"/>
  <c r="B196" i="1" s="1"/>
  <c r="A181" i="1"/>
  <c r="B181" i="1" s="1"/>
  <c r="A262" i="1"/>
  <c r="B262" i="1" s="1"/>
  <c r="A120" i="1"/>
  <c r="B120" i="1" s="1"/>
  <c r="A171" i="1"/>
  <c r="B171" i="1" s="1"/>
  <c r="A67" i="1"/>
  <c r="B67" i="1" s="1"/>
  <c r="A193" i="1"/>
  <c r="B193" i="1" s="1"/>
  <c r="A113" i="1"/>
  <c r="B113" i="1" s="1"/>
  <c r="A146" i="1"/>
  <c r="B146" i="1" s="1"/>
  <c r="A163" i="1"/>
  <c r="B163" i="1" s="1"/>
  <c r="A197" i="1"/>
  <c r="B197" i="1" s="1"/>
  <c r="A136" i="1"/>
  <c r="B136" i="1" s="1"/>
  <c r="A238" i="1"/>
  <c r="B238" i="1" s="1"/>
  <c r="A14" i="1"/>
  <c r="B14" i="1" s="1"/>
  <c r="A187" i="1"/>
  <c r="B187" i="1" s="1"/>
  <c r="A203" i="1"/>
  <c r="B203" i="1" s="1"/>
  <c r="A89" i="1"/>
  <c r="B89" i="1" s="1"/>
  <c r="A106" i="1"/>
  <c r="B106" i="1" s="1"/>
  <c r="A160" i="1"/>
  <c r="B160" i="1" s="1"/>
  <c r="A105" i="1"/>
  <c r="B105" i="1" s="1"/>
  <c r="A154" i="1"/>
  <c r="B154" i="1" s="1"/>
  <c r="A140" i="1"/>
  <c r="B140" i="1" s="1"/>
  <c r="A54" i="1"/>
  <c r="B54" i="1" s="1"/>
  <c r="A208" i="1"/>
  <c r="B208" i="1" s="1"/>
  <c r="A215" i="1"/>
  <c r="B215" i="1" s="1"/>
  <c r="A168" i="1"/>
  <c r="B168" i="1" s="1"/>
  <c r="A121" i="1"/>
  <c r="B121" i="1" s="1"/>
  <c r="A170" i="1"/>
  <c r="B170" i="1" s="1"/>
  <c r="A156" i="1"/>
  <c r="B156" i="1" s="1"/>
  <c r="A169" i="1"/>
  <c r="B169" i="1" s="1"/>
  <c r="A186" i="1"/>
  <c r="B186" i="1" s="1"/>
  <c r="A172" i="1"/>
  <c r="B172" i="1" s="1"/>
  <c r="A176" i="1"/>
  <c r="B176" i="1" s="1"/>
  <c r="A213" i="1"/>
  <c r="B213" i="1" s="1"/>
  <c r="A86" i="1"/>
  <c r="B86" i="1" s="1"/>
  <c r="A20" i="1"/>
  <c r="B20" i="1" s="1"/>
  <c r="A247" i="1"/>
  <c r="B247" i="1" s="1"/>
  <c r="A200" i="1"/>
  <c r="B200" i="1" s="1"/>
  <c r="A185" i="1"/>
  <c r="B185" i="1" s="1"/>
  <c r="A202" i="1"/>
  <c r="B202" i="1" s="1"/>
  <c r="A188" i="1"/>
  <c r="B188" i="1" s="1"/>
  <c r="A229" i="1"/>
  <c r="B229" i="1" s="1"/>
  <c r="A102" i="1"/>
  <c r="B102" i="1" s="1"/>
  <c r="A7" i="1"/>
  <c r="B7" i="1" s="1"/>
  <c r="A263" i="1"/>
  <c r="B263" i="1" s="1"/>
  <c r="A232" i="1"/>
  <c r="B232" i="1" s="1"/>
  <c r="A201" i="1"/>
  <c r="B201" i="1" s="1"/>
  <c r="A218" i="1"/>
  <c r="B218" i="1" s="1"/>
  <c r="A204" i="1"/>
  <c r="B204" i="1" s="1"/>
  <c r="A118" i="1"/>
  <c r="B118" i="1" s="1"/>
  <c r="A23" i="1"/>
  <c r="B23" i="1" s="1"/>
  <c r="A239" i="1"/>
  <c r="B239" i="1" s="1"/>
  <c r="A248" i="1"/>
  <c r="B248" i="1" s="1"/>
  <c r="A217" i="1"/>
  <c r="B217" i="1" s="1"/>
  <c r="A234" i="1"/>
  <c r="B234" i="1" s="1"/>
  <c r="A192" i="1"/>
  <c r="B192" i="1" s="1"/>
  <c r="A52" i="1"/>
  <c r="B52" i="1" s="1"/>
  <c r="A261" i="1"/>
  <c r="B261" i="1" s="1"/>
  <c r="A134" i="1"/>
  <c r="B134" i="1" s="1"/>
  <c r="A39" i="1"/>
  <c r="B39" i="1" s="1"/>
  <c r="A64" i="1"/>
  <c r="B64" i="1" s="1"/>
  <c r="A264" i="1"/>
  <c r="B264" i="1" s="1"/>
  <c r="A233" i="1"/>
  <c r="B233" i="1" s="1"/>
  <c r="A250" i="1"/>
  <c r="B250" i="1" s="1"/>
  <c r="A61" i="1"/>
  <c r="B61" i="1" s="1"/>
  <c r="A150" i="1"/>
  <c r="B150" i="1" s="1"/>
  <c r="A55" i="1"/>
  <c r="B55" i="1" s="1"/>
  <c r="A8" i="1"/>
  <c r="B8" i="1" s="1"/>
  <c r="A175" i="1"/>
  <c r="B175" i="1" s="1"/>
  <c r="A249" i="1"/>
  <c r="B249" i="1" s="1"/>
  <c r="A144" i="1"/>
  <c r="B144" i="1" s="1"/>
  <c r="A77" i="1"/>
  <c r="B77" i="1" s="1"/>
  <c r="A83" i="1"/>
  <c r="B83" i="1" s="1"/>
  <c r="A116" i="1"/>
  <c r="B116" i="1" s="1"/>
  <c r="A37" i="1"/>
  <c r="B37" i="1" s="1"/>
  <c r="A32" i="1"/>
  <c r="B32" i="1" s="1"/>
  <c r="A166" i="1"/>
  <c r="B166" i="1" s="1"/>
  <c r="A71" i="1"/>
  <c r="B71" i="1" s="1"/>
  <c r="A24" i="1"/>
  <c r="B24" i="1" s="1"/>
  <c r="A48" i="1"/>
  <c r="B48" i="1" s="1"/>
  <c r="A265" i="1"/>
  <c r="B265" i="1" s="1"/>
  <c r="A27" i="1"/>
  <c r="B27" i="1" s="1"/>
  <c r="A109" i="1"/>
  <c r="B109" i="1" s="1"/>
  <c r="A53" i="1"/>
  <c r="B53" i="1" s="1"/>
  <c r="A66" i="1"/>
  <c r="B66" i="1" s="1"/>
  <c r="A182" i="1"/>
  <c r="B182" i="1" s="1"/>
  <c r="A87" i="1"/>
  <c r="B87" i="1" s="1"/>
  <c r="A40" i="1"/>
  <c r="B40" i="1" s="1"/>
  <c r="A240" i="1"/>
  <c r="B240" i="1" s="1"/>
  <c r="A79" i="1"/>
  <c r="B79" i="1" s="1"/>
  <c r="A43" i="1"/>
  <c r="B43" i="1" s="1"/>
  <c r="A254" i="1"/>
  <c r="B254" i="1" s="1"/>
  <c r="A93" i="1"/>
  <c r="B93" i="1" s="1"/>
  <c r="A30" i="1"/>
  <c r="B30" i="1" s="1"/>
  <c r="A46" i="1"/>
  <c r="B46" i="1" s="1"/>
  <c r="A125" i="1"/>
  <c r="B125" i="1" s="1"/>
  <c r="A62" i="1"/>
  <c r="B62" i="1" s="1"/>
  <c r="A219" i="1"/>
  <c r="B219" i="1" s="1"/>
  <c r="A220" i="1"/>
  <c r="B220" i="1" s="1"/>
  <c r="A141" i="1"/>
  <c r="B141" i="1" s="1"/>
  <c r="A78" i="1"/>
  <c r="B78" i="1" s="1"/>
  <c r="A235" i="1"/>
  <c r="B235" i="1" s="1"/>
  <c r="A236" i="1"/>
  <c r="B236" i="1" s="1"/>
  <c r="A157" i="1"/>
  <c r="B157" i="1" s="1"/>
  <c r="A94" i="1"/>
  <c r="B94" i="1" s="1"/>
  <c r="A143" i="1"/>
  <c r="B143" i="1" s="1"/>
  <c r="A251" i="1"/>
  <c r="B251" i="1" s="1"/>
  <c r="A252" i="1"/>
  <c r="B252" i="1" s="1"/>
  <c r="A173" i="1"/>
  <c r="B173" i="1" s="1"/>
  <c r="A110" i="1"/>
  <c r="B110" i="1" s="1"/>
  <c r="A159" i="1"/>
  <c r="B159" i="1" s="1"/>
  <c r="A47" i="1"/>
  <c r="B47" i="1" s="1"/>
  <c r="A189" i="1"/>
  <c r="B189" i="1" s="1"/>
  <c r="A126" i="1"/>
  <c r="B126" i="1" s="1"/>
  <c r="A205" i="1"/>
  <c r="B205" i="1" s="1"/>
  <c r="A142" i="1"/>
  <c r="B142" i="1" s="1"/>
  <c r="A26" i="1"/>
  <c r="B26" i="1" s="1"/>
  <c r="A42" i="1"/>
  <c r="B42" i="1" s="1"/>
  <c r="A221" i="1"/>
  <c r="B221" i="1" s="1"/>
  <c r="A158" i="1"/>
  <c r="B158" i="1" s="1"/>
  <c r="A59" i="1"/>
  <c r="B59" i="1" s="1"/>
  <c r="A12" i="1"/>
  <c r="B12" i="1" s="1"/>
  <c r="A28" i="1"/>
  <c r="B28" i="1" s="1"/>
  <c r="A237" i="1"/>
  <c r="B237" i="1" s="1"/>
  <c r="A174" i="1"/>
  <c r="B174" i="1" s="1"/>
  <c r="A75" i="1"/>
  <c r="B75" i="1" s="1"/>
  <c r="A60" i="1"/>
  <c r="B60" i="1" s="1"/>
  <c r="A76" i="1"/>
  <c r="B76" i="1" s="1"/>
  <c r="A253" i="1"/>
  <c r="B253" i="1" s="1"/>
  <c r="A190" i="1"/>
  <c r="B190" i="1" s="1"/>
  <c r="A91" i="1"/>
  <c r="B91" i="1" s="1"/>
  <c r="A92" i="1"/>
  <c r="B92" i="1" s="1"/>
  <c r="A13" i="1"/>
  <c r="B13" i="1" s="1"/>
  <c r="A223" i="1"/>
  <c r="B223" i="1" s="1"/>
  <c r="A206" i="1"/>
  <c r="B206" i="1" s="1"/>
  <c r="A137" i="1"/>
  <c r="B137" i="1" s="1"/>
  <c r="A122" i="1"/>
  <c r="B122" i="1" s="1"/>
  <c r="A107" i="1"/>
  <c r="B107" i="1" s="1"/>
  <c r="A108" i="1"/>
  <c r="B108" i="1" s="1"/>
  <c r="A29" i="1"/>
  <c r="B29" i="1" s="1"/>
  <c r="A256" i="1"/>
  <c r="B256" i="1" s="1"/>
  <c r="A222" i="1"/>
  <c r="B222" i="1" s="1"/>
  <c r="A31" i="1"/>
  <c r="B31" i="1" s="1"/>
  <c r="A216" i="1"/>
  <c r="B216" i="1" s="1"/>
  <c r="A153" i="1"/>
  <c r="B153" i="1" s="1"/>
  <c r="A138" i="1"/>
  <c r="B138" i="1" s="1"/>
  <c r="A123" i="1"/>
  <c r="B123" i="1" s="1"/>
  <c r="A124" i="1"/>
  <c r="B124" i="1" s="1"/>
  <c r="A45" i="1"/>
  <c r="B45" i="1" s="1"/>
  <c r="A11" i="1"/>
  <c r="B11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E8D64AA-69A5-448B-81CA-4C9A6D7C4462}" keepAlive="1" name="Query - Publicholiday" description="Connection to the 'Publicholiday' query in the workbook." type="5" refreshedVersion="8" saveData="1">
    <dbPr connection="Provider=Microsoft.Mashup.OleDb.1;Data Source=$Workbook$;Location=Publicholiday;Extended Properties=&quot;&quot;" command="SELECT * FROM [Publicholiday]"/>
  </connection>
  <connection id="2" xr16:uid="{565C9C25-0427-4100-914A-0FAA34BD5901}" keepAlive="1" name="Query - Yearquery" description="Connection to the 'Yearquery' query in the workbook." type="5" refreshedVersion="0" background="1">
    <dbPr connection="Provider=Microsoft.Mashup.OleDb.1;Data Source=$Workbook$;Location=Yearquery;Extended Properties=&quot;&quot;" command="SELECT * FROM [Yearquery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<sst xmlns="http://schemas.openxmlformats.org/spreadsheetml/2006/main" count="48" uniqueCount="37">
  <si>
    <t>Column1</t>
  </si>
  <si>
    <t>The first day of January</t>
  </si>
  <si>
    <t>Wednesday</t>
  </si>
  <si>
    <t>Lunar New Year’s Day</t>
  </si>
  <si>
    <t>Thursday</t>
  </si>
  <si>
    <t>The third day of Lunar New Year</t>
  </si>
  <si>
    <t>Friday</t>
  </si>
  <si>
    <t>Ching Ming Festival</t>
  </si>
  <si>
    <t>Good Friday</t>
  </si>
  <si>
    <t>The day following Good Friday</t>
  </si>
  <si>
    <t>Saturday</t>
  </si>
  <si>
    <t>Easter Monday</t>
  </si>
  <si>
    <t>Monday</t>
  </si>
  <si>
    <t>Labour Day</t>
  </si>
  <si>
    <t>The Birthday of the Buddha</t>
  </si>
  <si>
    <t>Tuen Ng Festival</t>
  </si>
  <si>
    <t>Hong Kong Special Administrative Region Establishment Day</t>
  </si>
  <si>
    <t>Tuesday</t>
  </si>
  <si>
    <t>National Day</t>
  </si>
  <si>
    <t>The day following the Chinese Mid-Autumn Festival</t>
  </si>
  <si>
    <t>Chung Yeung Festival</t>
  </si>
  <si>
    <t>Christmas Day</t>
  </si>
  <si>
    <t>The first weekday after Christmas Day</t>
  </si>
  <si>
    <t>Previous workday</t>
  </si>
  <si>
    <t>31/12/</t>
  </si>
  <si>
    <t>Date</t>
  </si>
  <si>
    <t>Weekday</t>
  </si>
  <si>
    <t>Last workday</t>
  </si>
  <si>
    <t>Background data</t>
  </si>
  <si>
    <t>Year (Change this value)</t>
  </si>
  <si>
    <t>Year</t>
  </si>
  <si>
    <t>Month</t>
  </si>
  <si>
    <t>Column2</t>
  </si>
  <si>
    <t>Column3</t>
  </si>
  <si>
    <t>Day</t>
  </si>
  <si>
    <t>Correct Date</t>
  </si>
  <si>
    <t>The second day of Lunar New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</si>
</sst>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1" fillId="2" borderId="0" xfId="0" applyFont="1" applyFill="1"/>
    <xf numFmtId="16" fontId="0" fillId="2" borderId="0" xfId="0" applyNumberFormat="1" applyFill="1"/>
    <xf numFmtId="14" fontId="0" fillId="2" borderId="0" xfId="0" applyNumberFormat="1" applyFill="1"/>
    <xf numFmtId="0" fontId="2" fillId="0" borderId="0" xfId="0" applyFont="1"/>
    <xf numFmtId="164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11">
    <dxf>
      <numFmt numFmtId="19" formatCode="d/m/yyyy"/>
    </dxf>
    <dxf>
      <numFmt numFmtId="19" formatCode="d/m/yyyy"/>
    </dxf>
    <dxf>
      <numFmt numFmtId="0" formatCode="General"/>
    </dxf>
    <dxf>
      <numFmt numFmtId="0" formatCode="General"/>
    </dxf>
    <dxf>
      <numFmt numFmtId="19" formatCode="d/m/yyyy"/>
    </dxf>
    <dxf>
      <numFmt numFmtId="164" formatCode="dd/mmm"/>
    </dxf>
    <dxf>
      <numFmt numFmtId="19" formatCode="d/m/yyyy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" xr16:uid="{30E47510-FFC3-454E-A76E-E8F1161972CF}" autoFormatId="16" applyNumberFormats="0" applyBorderFormats="0" applyFontFormats="0" applyPatternFormats="0" applyAlignmentFormats="0" applyWidthHeightFormats="0">
  <queryTableRefresh nextId="10" unboundColumnsRight="4">
    <queryTableFields count="7">
      <queryTableField id="2" name="Column1" tableColumnId="2"/>
      <queryTableField id="6" name="Column2" tableColumnId="6"/>
      <queryTableField id="7" name="Column3" tableColumnId="7"/>
      <queryTableField id="4" dataBound="0" tableColumnId="4"/>
      <queryTableField id="5" dataBound="0" tableColumnId="5"/>
      <queryTableField id="8" dataBound="0" tableColumnId="8"/>
      <queryTableField id="9" dataBound="0" tableColumnId="9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934F5E7-CE51-418A-B432-AA41E78181C4}" name="Table1" displayName="Table1" ref="A5:B265" totalsRowShown="0">
  <autoFilter ref="A5:B265" xr:uid="{1934F5E7-CE51-418A-B432-AA41E78181C4}">
    <filterColumn colId="0">
      <extLst>
        <ext xmlns:xlrd2="http://schemas.microsoft.com/office/spreadsheetml/2017/richdata2" uri="{1AD28BCE-077C-4C59-8B6E-1921CE8616D4}">
          <xlrd2:filterColumn>
            <xlrd2:filters>
              <xlrd2:dateGroupItem year="2025" dateTimeGrouping="year"/>
            </xlrd2:filters>
          </xlrd2:filterColumn>
        </ext>
      </extLst>
    </filterColumn>
  </autoFilter>
  <tableColumns count="2">
    <tableColumn id="1" xr3:uid="{C3B8F49E-BF8B-4B95-AAC6-C0C4D1B5E76B}" name="Date" dataDxfId="6"/>
    <tableColumn id="2" xr3:uid="{BCF4F8FE-3AD1-4A57-AB64-44D53582AEBB}" name="Weekday">
      <calculatedColumnFormula>TEXT(A6,"dddd")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D7826D1-D081-47CC-818E-CAF5830E1192}" name="Table3" displayName="Table3" ref="A1:A2" totalsRowShown="0" headerRowDxfId="10" dataDxfId="9">
  <autoFilter ref="A1:A2" xr:uid="{1D7826D1-D081-47CC-818E-CAF5830E1192}"/>
  <tableColumns count="1">
    <tableColumn id="1" xr3:uid="{B44F0579-B079-499C-B355-BEE8057A7622}" name="Year (Change this value)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21591A-1AE4-4DB4-A4EE-C721577AAF8E}" name="Publicholiday" displayName="Publicholiday" ref="A1:G18" tableType="queryTable" totalsRowShown="0">
  <autoFilter ref="A1:G18" xr:uid="{5821591A-1AE4-4DB4-A4EE-C721577AAF8E}"/>
  <tableColumns count="7">
    <tableColumn id="2" xr3:uid="{44902190-47A1-42E9-803C-1D813691EA0F}" uniqueName="2" name="Column1" queryTableFieldId="2" dataDxfId="5"/>
    <tableColumn id="6" xr3:uid="{3AFDA7E1-4C4C-4485-964D-943DACE07DFC}" uniqueName="6" name="Column2" queryTableFieldId="6" dataDxfId="4"/>
    <tableColumn id="7" xr3:uid="{25F96DDA-5BBC-48BA-B8B5-FEBB37379ED2}" uniqueName="7" name="Column3" queryTableFieldId="7" dataDxfId="3"/>
    <tableColumn id="4" xr3:uid="{67827262-8504-4BFF-AD03-D778DEAAD399}" uniqueName="4" name="Year" queryTableFieldId="4" dataDxfId="2">
      <calculatedColumnFormula array="1">Table3[Year (Change this value)]</calculatedColumnFormula>
    </tableColumn>
    <tableColumn id="5" xr3:uid="{BBD24FD7-4E63-46F2-8FD3-15C5AF4BFBFD}" uniqueName="5" name="Month" queryTableFieldId="5" dataDxfId="1">
      <calculatedColumnFormula>TEXT(Publicholiday[[#This Row],[Column2]],"mm")</calculatedColumnFormula>
    </tableColumn>
    <tableColumn id="8" xr3:uid="{B5EB4074-4263-4B58-8D14-F0F2F664AD2F}" uniqueName="8" name="Day" queryTableFieldId="8" dataDxfId="7">
      <calculatedColumnFormula>TEXT(Publicholiday[[#This Row],[Column2]],"dd")</calculatedColumnFormula>
    </tableColumn>
    <tableColumn id="9" xr3:uid="{F317BBE5-6949-4005-91F6-C340591E7A49}" uniqueName="9" name="Correct Date" queryTableFieldId="9" dataDxfId="0">
      <calculatedColumnFormula>DATE(Publicholiday[[#This Row],[Year]],Publicholiday[[#This Row],[Month]],Publicholiday[[#This Row],[Day]])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8F96B-E4CF-4054-8B97-050563626E30}">
  <sheetPr codeName="Sheet1"/>
  <dimension ref="A1:I265"/>
  <sheetViews>
    <sheetView tabSelected="1" zoomScale="85" zoomScaleNormal="85" workbookViewId="0">
      <selection activeCell="A3" sqref="A3"/>
    </sheetView>
  </sheetViews>
  <sheetFormatPr defaultRowHeight="15" x14ac:dyDescent="0.25"/>
  <cols>
    <col min="1" max="1" width="24.5703125" customWidth="1"/>
    <col min="2" max="2" width="11.5703125" customWidth="1"/>
    <col min="4" max="4" width="15.7109375" bestFit="1" customWidth="1"/>
    <col min="9" max="9" width="10.7109375" bestFit="1" customWidth="1"/>
  </cols>
  <sheetData>
    <row r="1" spans="1:9" x14ac:dyDescent="0.25">
      <c r="A1" s="2" t="s">
        <v>29</v>
      </c>
      <c r="D1" s="4" t="s">
        <v>28</v>
      </c>
      <c r="E1" s="4" t="s">
        <v>23</v>
      </c>
      <c r="F1" s="3"/>
      <c r="G1" s="4" t="s">
        <v>27</v>
      </c>
    </row>
    <row r="2" spans="1:9" x14ac:dyDescent="0.25">
      <c r="A2" s="7">
        <v>2025</v>
      </c>
      <c r="D2" s="3"/>
      <c r="E2" s="5" t="s">
        <v>24</v>
      </c>
      <c r="F2" s="3"/>
      <c r="G2" s="3" t="str">
        <f>"12/31/"&amp;A2</f>
        <v>12/31/2025</v>
      </c>
      <c r="I2" s="1"/>
    </row>
    <row r="3" spans="1:9" x14ac:dyDescent="0.25">
      <c r="D3" s="3"/>
      <c r="E3" s="6" t="str">
        <f>E2&amp;A2-1</f>
        <v>31/12/2024</v>
      </c>
      <c r="F3" s="3"/>
      <c r="G3" s="3"/>
    </row>
    <row r="5" spans="1:9" x14ac:dyDescent="0.25">
      <c r="A5" s="2" t="s">
        <v>25</v>
      </c>
      <c r="B5" t="s">
        <v>26</v>
      </c>
    </row>
    <row r="6" spans="1:9" x14ac:dyDescent="0.25">
      <c r="A6" s="1">
        <f>WORKDAY($E$3,1,Publicholiday[Correct Date])</f>
        <v>45659</v>
      </c>
      <c r="B6" t="str">
        <f>TEXT(A6,"dddd")</f>
        <v>Thursday</v>
      </c>
      <c r="D6" s="1"/>
    </row>
    <row r="7" spans="1:9" x14ac:dyDescent="0.25">
      <c r="A7" s="1">
        <f>WORKDAY($E$3,2,Publicholiday[Correct Date])</f>
        <v>45660</v>
      </c>
      <c r="B7" t="str">
        <f t="shared" ref="B7:B70" si="0">TEXT(A7,"dddd")</f>
        <v>Friday</v>
      </c>
      <c r="D7" s="1"/>
      <c r="E7" s="9"/>
    </row>
    <row r="8" spans="1:9" x14ac:dyDescent="0.25">
      <c r="A8" s="1">
        <f>WORKDAY($E$3,3,Publicholiday[Correct Date])</f>
        <v>45663</v>
      </c>
      <c r="B8" t="str">
        <f t="shared" si="0"/>
        <v>Monday</v>
      </c>
      <c r="D8" s="1"/>
    </row>
    <row r="9" spans="1:9" x14ac:dyDescent="0.25">
      <c r="A9" s="1">
        <f>WORKDAY($E$3,4,Publicholiday[Correct Date])</f>
        <v>45664</v>
      </c>
      <c r="B9" t="str">
        <f t="shared" si="0"/>
        <v>Tuesday</v>
      </c>
      <c r="D9" s="1"/>
      <c r="E9" s="9"/>
    </row>
    <row r="10" spans="1:9" x14ac:dyDescent="0.25">
      <c r="A10" s="1">
        <f>WORKDAY($E$3,5,Publicholiday[Correct Date])</f>
        <v>45665</v>
      </c>
      <c r="B10" t="str">
        <f t="shared" si="0"/>
        <v>Wednesday</v>
      </c>
      <c r="D10" s="1"/>
    </row>
    <row r="11" spans="1:9" x14ac:dyDescent="0.25">
      <c r="A11" s="1">
        <f>WORKDAY($E$3,6,Publicholiday[Correct Date])</f>
        <v>45666</v>
      </c>
      <c r="B11" t="str">
        <f t="shared" si="0"/>
        <v>Thursday</v>
      </c>
      <c r="D11" s="1"/>
      <c r="E11" s="9"/>
    </row>
    <row r="12" spans="1:9" x14ac:dyDescent="0.25">
      <c r="A12" s="1">
        <f>WORKDAY($E$3,7,Publicholiday[Correct Date])</f>
        <v>45667</v>
      </c>
      <c r="B12" t="str">
        <f t="shared" si="0"/>
        <v>Friday</v>
      </c>
      <c r="D12" s="1"/>
    </row>
    <row r="13" spans="1:9" x14ac:dyDescent="0.25">
      <c r="A13" s="1">
        <f>WORKDAY($E$3,8,Publicholiday[Correct Date])</f>
        <v>45670</v>
      </c>
      <c r="B13" t="str">
        <f t="shared" si="0"/>
        <v>Monday</v>
      </c>
      <c r="D13" s="1"/>
      <c r="E13" s="9"/>
    </row>
    <row r="14" spans="1:9" x14ac:dyDescent="0.25">
      <c r="A14" s="1">
        <f>WORKDAY($E$3,9,Publicholiday[Correct Date])</f>
        <v>45671</v>
      </c>
      <c r="B14" t="str">
        <f t="shared" si="0"/>
        <v>Tuesday</v>
      </c>
      <c r="D14" s="1"/>
    </row>
    <row r="15" spans="1:9" x14ac:dyDescent="0.25">
      <c r="A15" s="1">
        <f>WORKDAY($E$3,10,Publicholiday[Correct Date])</f>
        <v>45672</v>
      </c>
      <c r="B15" t="str">
        <f t="shared" si="0"/>
        <v>Wednesday</v>
      </c>
      <c r="D15" s="1"/>
      <c r="E15" s="9"/>
    </row>
    <row r="16" spans="1:9" x14ac:dyDescent="0.25">
      <c r="A16" s="1">
        <f>WORKDAY($E$3,11,Publicholiday[Correct Date])</f>
        <v>45673</v>
      </c>
      <c r="B16" t="str">
        <f t="shared" si="0"/>
        <v>Thursday</v>
      </c>
      <c r="D16" s="1"/>
    </row>
    <row r="17" spans="1:5" x14ac:dyDescent="0.25">
      <c r="A17" s="1">
        <f>WORKDAY($E$3,12,Publicholiday[Correct Date])</f>
        <v>45674</v>
      </c>
      <c r="B17" t="str">
        <f t="shared" si="0"/>
        <v>Friday</v>
      </c>
      <c r="D17" s="1"/>
      <c r="E17" s="9"/>
    </row>
    <row r="18" spans="1:5" x14ac:dyDescent="0.25">
      <c r="A18" s="1">
        <f>WORKDAY($E$3,13,Publicholiday[Correct Date])</f>
        <v>45677</v>
      </c>
      <c r="B18" t="str">
        <f t="shared" si="0"/>
        <v>Monday</v>
      </c>
      <c r="D18" s="1"/>
    </row>
    <row r="19" spans="1:5" x14ac:dyDescent="0.25">
      <c r="A19" s="1">
        <f>WORKDAY($E$3,14,Publicholiday[Correct Date])</f>
        <v>45678</v>
      </c>
      <c r="B19" t="str">
        <f t="shared" si="0"/>
        <v>Tuesday</v>
      </c>
      <c r="D19" s="1"/>
      <c r="E19" s="9"/>
    </row>
    <row r="20" spans="1:5" x14ac:dyDescent="0.25">
      <c r="A20" s="1">
        <f>WORKDAY($E$3,15,Publicholiday[Correct Date])</f>
        <v>45679</v>
      </c>
      <c r="B20" t="str">
        <f t="shared" si="0"/>
        <v>Wednesday</v>
      </c>
      <c r="D20" s="1"/>
    </row>
    <row r="21" spans="1:5" x14ac:dyDescent="0.25">
      <c r="A21" s="1">
        <f>WORKDAY($E$3,16,Publicholiday[Correct Date])</f>
        <v>45680</v>
      </c>
      <c r="B21" t="str">
        <f t="shared" si="0"/>
        <v>Thursday</v>
      </c>
      <c r="D21" s="1"/>
      <c r="E21" s="9"/>
    </row>
    <row r="22" spans="1:5" x14ac:dyDescent="0.25">
      <c r="A22" s="1">
        <f>WORKDAY($E$3,17,Publicholiday[Correct Date])</f>
        <v>45681</v>
      </c>
      <c r="B22" t="str">
        <f t="shared" si="0"/>
        <v>Friday</v>
      </c>
      <c r="D22" s="1"/>
    </row>
    <row r="23" spans="1:5" x14ac:dyDescent="0.25">
      <c r="A23" s="1">
        <f>WORKDAY($E$3,18,Publicholiday[Correct Date])</f>
        <v>45684</v>
      </c>
      <c r="B23" t="str">
        <f t="shared" si="0"/>
        <v>Monday</v>
      </c>
      <c r="D23" s="1"/>
      <c r="E23" s="9"/>
    </row>
    <row r="24" spans="1:5" x14ac:dyDescent="0.25">
      <c r="A24" s="1">
        <f>WORKDAY($E$3,19,Publicholiday[Correct Date])</f>
        <v>45685</v>
      </c>
      <c r="B24" t="str">
        <f t="shared" si="0"/>
        <v>Tuesday</v>
      </c>
      <c r="D24" s="1"/>
    </row>
    <row r="25" spans="1:5" x14ac:dyDescent="0.25">
      <c r="A25" s="1">
        <f>WORKDAY($E$3,20,Publicholiday[Correct Date])</f>
        <v>45691</v>
      </c>
      <c r="B25" t="str">
        <f t="shared" si="0"/>
        <v>Monday</v>
      </c>
      <c r="D25" s="1"/>
      <c r="E25" s="9"/>
    </row>
    <row r="26" spans="1:5" x14ac:dyDescent="0.25">
      <c r="A26" s="1">
        <f>WORKDAY($E$3,21,Publicholiday[Correct Date])</f>
        <v>45692</v>
      </c>
      <c r="B26" t="str">
        <f t="shared" si="0"/>
        <v>Tuesday</v>
      </c>
      <c r="D26" s="1"/>
    </row>
    <row r="27" spans="1:5" x14ac:dyDescent="0.25">
      <c r="A27" s="1">
        <f>WORKDAY($E$3,22,Publicholiday[Correct Date])</f>
        <v>45693</v>
      </c>
      <c r="B27" t="str">
        <f t="shared" si="0"/>
        <v>Wednesday</v>
      </c>
      <c r="D27" s="1"/>
      <c r="E27" s="9"/>
    </row>
    <row r="28" spans="1:5" x14ac:dyDescent="0.25">
      <c r="A28" s="1">
        <f>WORKDAY($E$3,23,Publicholiday[Correct Date])</f>
        <v>45694</v>
      </c>
      <c r="B28" t="str">
        <f t="shared" si="0"/>
        <v>Thursday</v>
      </c>
      <c r="D28" s="1"/>
    </row>
    <row r="29" spans="1:5" x14ac:dyDescent="0.25">
      <c r="A29" s="1">
        <f>WORKDAY($E$3,24,Publicholiday[Correct Date])</f>
        <v>45695</v>
      </c>
      <c r="B29" t="str">
        <f t="shared" si="0"/>
        <v>Friday</v>
      </c>
      <c r="D29" s="1"/>
      <c r="E29" s="9"/>
    </row>
    <row r="30" spans="1:5" x14ac:dyDescent="0.25">
      <c r="A30" s="1">
        <f>WORKDAY($E$3,25,Publicholiday[Correct Date])</f>
        <v>45698</v>
      </c>
      <c r="B30" t="str">
        <f t="shared" si="0"/>
        <v>Monday</v>
      </c>
      <c r="D30" s="1"/>
    </row>
    <row r="31" spans="1:5" x14ac:dyDescent="0.25">
      <c r="A31" s="1">
        <f>WORKDAY($E$3,26,Publicholiday[Correct Date])</f>
        <v>45699</v>
      </c>
      <c r="B31" t="str">
        <f t="shared" si="0"/>
        <v>Tuesday</v>
      </c>
      <c r="D31" s="1"/>
      <c r="E31" s="9"/>
    </row>
    <row r="32" spans="1:5" x14ac:dyDescent="0.25">
      <c r="A32" s="1">
        <f>WORKDAY($E$3,27,Publicholiday[Correct Date])</f>
        <v>45700</v>
      </c>
      <c r="B32" t="str">
        <f t="shared" si="0"/>
        <v>Wednesday</v>
      </c>
      <c r="D32" s="1"/>
    </row>
    <row r="33" spans="1:5" x14ac:dyDescent="0.25">
      <c r="A33" s="1">
        <f>WORKDAY($E$3,28,Publicholiday[Correct Date])</f>
        <v>45701</v>
      </c>
      <c r="B33" t="str">
        <f t="shared" si="0"/>
        <v>Thursday</v>
      </c>
      <c r="D33" s="1"/>
      <c r="E33" s="9"/>
    </row>
    <row r="34" spans="1:5" x14ac:dyDescent="0.25">
      <c r="A34" s="1">
        <f>WORKDAY($E$3,29,Publicholiday[Correct Date])</f>
        <v>45702</v>
      </c>
      <c r="B34" t="str">
        <f t="shared" si="0"/>
        <v>Friday</v>
      </c>
      <c r="D34" s="1"/>
    </row>
    <row r="35" spans="1:5" x14ac:dyDescent="0.25">
      <c r="A35" s="1">
        <f>WORKDAY($E$3,30,Publicholiday[Correct Date])</f>
        <v>45705</v>
      </c>
      <c r="B35" t="str">
        <f t="shared" si="0"/>
        <v>Monday</v>
      </c>
      <c r="D35" s="1"/>
      <c r="E35" s="9"/>
    </row>
    <row r="36" spans="1:5" x14ac:dyDescent="0.25">
      <c r="A36" s="1">
        <f>WORKDAY($E$3,31,Publicholiday[Correct Date])</f>
        <v>45706</v>
      </c>
      <c r="B36" t="str">
        <f t="shared" si="0"/>
        <v>Tuesday</v>
      </c>
      <c r="D36" s="1"/>
    </row>
    <row r="37" spans="1:5" x14ac:dyDescent="0.25">
      <c r="A37" s="1">
        <f>WORKDAY($E$3,32,Publicholiday[Correct Date])</f>
        <v>45707</v>
      </c>
      <c r="B37" t="str">
        <f t="shared" si="0"/>
        <v>Wednesday</v>
      </c>
      <c r="D37" s="1"/>
      <c r="E37" s="9"/>
    </row>
    <row r="38" spans="1:5" x14ac:dyDescent="0.25">
      <c r="A38" s="1">
        <f>WORKDAY($E$3,33,Publicholiday[Correct Date])</f>
        <v>45708</v>
      </c>
      <c r="B38" t="str">
        <f t="shared" si="0"/>
        <v>Thursday</v>
      </c>
      <c r="D38" s="1"/>
    </row>
    <row r="39" spans="1:5" x14ac:dyDescent="0.25">
      <c r="A39" s="1">
        <f>WORKDAY($E$3,34,Publicholiday[Correct Date])</f>
        <v>45709</v>
      </c>
      <c r="B39" t="str">
        <f t="shared" si="0"/>
        <v>Friday</v>
      </c>
      <c r="D39" s="1"/>
      <c r="E39" s="9"/>
    </row>
    <row r="40" spans="1:5" x14ac:dyDescent="0.25">
      <c r="A40" s="1">
        <f>WORKDAY($E$3,35,Publicholiday[Correct Date])</f>
        <v>45712</v>
      </c>
      <c r="B40" t="str">
        <f t="shared" si="0"/>
        <v>Monday</v>
      </c>
      <c r="D40" s="1"/>
    </row>
    <row r="41" spans="1:5" x14ac:dyDescent="0.25">
      <c r="A41" s="1">
        <f>WORKDAY($E$3,36,Publicholiday[Correct Date])</f>
        <v>45713</v>
      </c>
      <c r="B41" t="str">
        <f t="shared" si="0"/>
        <v>Tuesday</v>
      </c>
      <c r="D41" s="1"/>
      <c r="E41" s="9"/>
    </row>
    <row r="42" spans="1:5" x14ac:dyDescent="0.25">
      <c r="A42" s="1">
        <f>WORKDAY($E$3,37,Publicholiday[Correct Date])</f>
        <v>45714</v>
      </c>
      <c r="B42" t="str">
        <f t="shared" si="0"/>
        <v>Wednesday</v>
      </c>
      <c r="D42" s="1"/>
    </row>
    <row r="43" spans="1:5" x14ac:dyDescent="0.25">
      <c r="A43" s="1">
        <f>WORKDAY($E$3,38,Publicholiday[Correct Date])</f>
        <v>45715</v>
      </c>
      <c r="B43" t="str">
        <f t="shared" si="0"/>
        <v>Thursday</v>
      </c>
      <c r="D43" s="1"/>
      <c r="E43" s="9"/>
    </row>
    <row r="44" spans="1:5" x14ac:dyDescent="0.25">
      <c r="A44" s="1">
        <f>WORKDAY($E$3,39,Publicholiday[Correct Date])</f>
        <v>45716</v>
      </c>
      <c r="B44" t="str">
        <f t="shared" si="0"/>
        <v>Friday</v>
      </c>
      <c r="D44" s="1"/>
    </row>
    <row r="45" spans="1:5" x14ac:dyDescent="0.25">
      <c r="A45" s="1">
        <f>WORKDAY($E$3,40,Publicholiday[Correct Date])</f>
        <v>45719</v>
      </c>
      <c r="B45" t="str">
        <f t="shared" si="0"/>
        <v>Monday</v>
      </c>
      <c r="D45" s="1"/>
      <c r="E45" s="9"/>
    </row>
    <row r="46" spans="1:5" x14ac:dyDescent="0.25">
      <c r="A46" s="1">
        <f>WORKDAY($E$3,41,Publicholiday[Correct Date])</f>
        <v>45720</v>
      </c>
      <c r="B46" t="str">
        <f t="shared" si="0"/>
        <v>Tuesday</v>
      </c>
      <c r="D46" s="1"/>
    </row>
    <row r="47" spans="1:5" x14ac:dyDescent="0.25">
      <c r="A47" s="1">
        <f>WORKDAY($E$3,42,Publicholiday[Correct Date])</f>
        <v>45721</v>
      </c>
      <c r="B47" t="str">
        <f t="shared" si="0"/>
        <v>Wednesday</v>
      </c>
      <c r="D47" s="1"/>
      <c r="E47" s="9"/>
    </row>
    <row r="48" spans="1:5" x14ac:dyDescent="0.25">
      <c r="A48" s="1">
        <f>WORKDAY($E$3,43,Publicholiday[Correct Date])</f>
        <v>45722</v>
      </c>
      <c r="B48" t="str">
        <f t="shared" si="0"/>
        <v>Thursday</v>
      </c>
      <c r="D48" s="1"/>
    </row>
    <row r="49" spans="1:5" x14ac:dyDescent="0.25">
      <c r="A49" s="1">
        <f>WORKDAY($E$3,44,Publicholiday[Correct Date])</f>
        <v>45723</v>
      </c>
      <c r="B49" t="str">
        <f t="shared" si="0"/>
        <v>Friday</v>
      </c>
      <c r="D49" s="1"/>
      <c r="E49" s="9"/>
    </row>
    <row r="50" spans="1:5" x14ac:dyDescent="0.25">
      <c r="A50" s="1">
        <f>WORKDAY($E$3,45,Publicholiday[Correct Date])</f>
        <v>45726</v>
      </c>
      <c r="B50" t="str">
        <f t="shared" si="0"/>
        <v>Monday</v>
      </c>
      <c r="D50" s="1"/>
    </row>
    <row r="51" spans="1:5" x14ac:dyDescent="0.25">
      <c r="A51" s="1">
        <f>WORKDAY($E$3,46,Publicholiday[Correct Date])</f>
        <v>45727</v>
      </c>
      <c r="B51" t="str">
        <f t="shared" si="0"/>
        <v>Tuesday</v>
      </c>
      <c r="D51" s="1"/>
      <c r="E51" s="9"/>
    </row>
    <row r="52" spans="1:5" x14ac:dyDescent="0.25">
      <c r="A52" s="1">
        <f>WORKDAY($E$3,47,Publicholiday[Correct Date])</f>
        <v>45728</v>
      </c>
      <c r="B52" t="str">
        <f t="shared" si="0"/>
        <v>Wednesday</v>
      </c>
      <c r="D52" s="1"/>
    </row>
    <row r="53" spans="1:5" x14ac:dyDescent="0.25">
      <c r="A53" s="1">
        <f>WORKDAY($E$3,48,Publicholiday[Correct Date])</f>
        <v>45729</v>
      </c>
      <c r="B53" t="str">
        <f t="shared" si="0"/>
        <v>Thursday</v>
      </c>
      <c r="D53" s="1"/>
      <c r="E53" s="9"/>
    </row>
    <row r="54" spans="1:5" x14ac:dyDescent="0.25">
      <c r="A54" s="1">
        <f>WORKDAY($E$3,49,Publicholiday[Correct Date])</f>
        <v>45730</v>
      </c>
      <c r="B54" t="str">
        <f t="shared" si="0"/>
        <v>Friday</v>
      </c>
      <c r="D54" s="1"/>
    </row>
    <row r="55" spans="1:5" x14ac:dyDescent="0.25">
      <c r="A55" s="1">
        <f>WORKDAY($E$3,50,Publicholiday[Correct Date])</f>
        <v>45733</v>
      </c>
      <c r="B55" t="str">
        <f t="shared" si="0"/>
        <v>Monday</v>
      </c>
      <c r="D55" s="1"/>
      <c r="E55" s="9"/>
    </row>
    <row r="56" spans="1:5" x14ac:dyDescent="0.25">
      <c r="A56" s="1">
        <f>WORKDAY($E$3,51,Publicholiday[Correct Date])</f>
        <v>45734</v>
      </c>
      <c r="B56" t="str">
        <f t="shared" si="0"/>
        <v>Tuesday</v>
      </c>
      <c r="D56" s="1"/>
    </row>
    <row r="57" spans="1:5" x14ac:dyDescent="0.25">
      <c r="A57" s="1">
        <f>WORKDAY($E$3,52,Publicholiday[Correct Date])</f>
        <v>45735</v>
      </c>
      <c r="B57" t="str">
        <f t="shared" si="0"/>
        <v>Wednesday</v>
      </c>
      <c r="D57" s="1"/>
      <c r="E57" s="9"/>
    </row>
    <row r="58" spans="1:5" x14ac:dyDescent="0.25">
      <c r="A58" s="1">
        <f>WORKDAY($E$3,53,Publicholiday[Correct Date])</f>
        <v>45736</v>
      </c>
      <c r="B58" t="str">
        <f t="shared" si="0"/>
        <v>Thursday</v>
      </c>
      <c r="D58" s="1"/>
    </row>
    <row r="59" spans="1:5" x14ac:dyDescent="0.25">
      <c r="A59" s="1">
        <f>WORKDAY($E$3,54,Publicholiday[Correct Date])</f>
        <v>45737</v>
      </c>
      <c r="B59" t="str">
        <f t="shared" si="0"/>
        <v>Friday</v>
      </c>
      <c r="D59" s="1"/>
      <c r="E59" s="9"/>
    </row>
    <row r="60" spans="1:5" x14ac:dyDescent="0.25">
      <c r="A60" s="1">
        <f>WORKDAY($E$3,55,Publicholiday[Correct Date])</f>
        <v>45740</v>
      </c>
      <c r="B60" t="str">
        <f t="shared" si="0"/>
        <v>Monday</v>
      </c>
      <c r="D60" s="1"/>
    </row>
    <row r="61" spans="1:5" x14ac:dyDescent="0.25">
      <c r="A61" s="1">
        <f>WORKDAY($E$3,56,Publicholiday[Correct Date])</f>
        <v>45741</v>
      </c>
      <c r="B61" t="str">
        <f t="shared" si="0"/>
        <v>Tuesday</v>
      </c>
      <c r="D61" s="1"/>
      <c r="E61" s="9"/>
    </row>
    <row r="62" spans="1:5" x14ac:dyDescent="0.25">
      <c r="A62" s="1">
        <f>WORKDAY($E$3,57,Publicholiday[Correct Date])</f>
        <v>45742</v>
      </c>
      <c r="B62" t="str">
        <f t="shared" si="0"/>
        <v>Wednesday</v>
      </c>
      <c r="D62" s="1"/>
    </row>
    <row r="63" spans="1:5" x14ac:dyDescent="0.25">
      <c r="A63" s="1">
        <f>WORKDAY($E$3,58,Publicholiday[Correct Date])</f>
        <v>45743</v>
      </c>
      <c r="B63" t="str">
        <f t="shared" si="0"/>
        <v>Thursday</v>
      </c>
      <c r="D63" s="1"/>
      <c r="E63" s="9"/>
    </row>
    <row r="64" spans="1:5" x14ac:dyDescent="0.25">
      <c r="A64" s="1">
        <f>WORKDAY($E$3,59,Publicholiday[Correct Date])</f>
        <v>45744</v>
      </c>
      <c r="B64" t="str">
        <f t="shared" si="0"/>
        <v>Friday</v>
      </c>
      <c r="D64" s="1"/>
    </row>
    <row r="65" spans="1:5" x14ac:dyDescent="0.25">
      <c r="A65" s="1">
        <f>WORKDAY($E$3,60,Publicholiday[Correct Date])</f>
        <v>45747</v>
      </c>
      <c r="B65" t="str">
        <f t="shared" si="0"/>
        <v>Monday</v>
      </c>
      <c r="D65" s="1"/>
      <c r="E65" s="9"/>
    </row>
    <row r="66" spans="1:5" x14ac:dyDescent="0.25">
      <c r="A66" s="1">
        <f>WORKDAY($E$3,61,Publicholiday[Correct Date])</f>
        <v>45748</v>
      </c>
      <c r="B66" t="str">
        <f t="shared" si="0"/>
        <v>Tuesday</v>
      </c>
      <c r="D66" s="1"/>
    </row>
    <row r="67" spans="1:5" x14ac:dyDescent="0.25">
      <c r="A67" s="1">
        <f>WORKDAY($E$3,62,Publicholiday[Correct Date])</f>
        <v>45749</v>
      </c>
      <c r="B67" t="str">
        <f t="shared" si="0"/>
        <v>Wednesday</v>
      </c>
      <c r="D67" s="1"/>
      <c r="E67" s="9"/>
    </row>
    <row r="68" spans="1:5" x14ac:dyDescent="0.25">
      <c r="A68" s="1">
        <f>WORKDAY($E$3,63,Publicholiday[Correct Date])</f>
        <v>45750</v>
      </c>
      <c r="B68" t="str">
        <f t="shared" si="0"/>
        <v>Thursday</v>
      </c>
      <c r="D68" s="1"/>
    </row>
    <row r="69" spans="1:5" x14ac:dyDescent="0.25">
      <c r="A69" s="1">
        <f>WORKDAY($E$3,64,Publicholiday[Correct Date])</f>
        <v>45754</v>
      </c>
      <c r="B69" t="str">
        <f t="shared" si="0"/>
        <v>Monday</v>
      </c>
      <c r="D69" s="1"/>
      <c r="E69" s="9"/>
    </row>
    <row r="70" spans="1:5" x14ac:dyDescent="0.25">
      <c r="A70" s="1">
        <f>WORKDAY($E$3,65,Publicholiday[Correct Date])</f>
        <v>45755</v>
      </c>
      <c r="B70" t="str">
        <f t="shared" si="0"/>
        <v>Tuesday</v>
      </c>
      <c r="D70" s="1"/>
    </row>
    <row r="71" spans="1:5" x14ac:dyDescent="0.25">
      <c r="A71" s="1">
        <f>WORKDAY($E$3,66,Publicholiday[Correct Date])</f>
        <v>45756</v>
      </c>
      <c r="B71" t="str">
        <f t="shared" ref="B71:B134" si="1">TEXT(A71,"dddd")</f>
        <v>Wednesday</v>
      </c>
      <c r="D71" s="1"/>
      <c r="E71" s="9"/>
    </row>
    <row r="72" spans="1:5" x14ac:dyDescent="0.25">
      <c r="A72" s="1">
        <f>WORKDAY($E$3,67,Publicholiday[Correct Date])</f>
        <v>45757</v>
      </c>
      <c r="B72" t="str">
        <f t="shared" si="1"/>
        <v>Thursday</v>
      </c>
      <c r="D72" s="1"/>
    </row>
    <row r="73" spans="1:5" x14ac:dyDescent="0.25">
      <c r="A73" s="1">
        <f>WORKDAY($E$3,68,Publicholiday[Correct Date])</f>
        <v>45758</v>
      </c>
      <c r="B73" t="str">
        <f t="shared" si="1"/>
        <v>Friday</v>
      </c>
      <c r="D73" s="1"/>
      <c r="E73" s="9"/>
    </row>
    <row r="74" spans="1:5" x14ac:dyDescent="0.25">
      <c r="A74" s="1">
        <f>WORKDAY($E$3,69,Publicholiday[Correct Date])</f>
        <v>45761</v>
      </c>
      <c r="B74" t="str">
        <f t="shared" si="1"/>
        <v>Monday</v>
      </c>
      <c r="D74" s="1"/>
    </row>
    <row r="75" spans="1:5" x14ac:dyDescent="0.25">
      <c r="A75" s="1">
        <f>WORKDAY($E$3,70,Publicholiday[Correct Date])</f>
        <v>45762</v>
      </c>
      <c r="B75" t="str">
        <f t="shared" si="1"/>
        <v>Tuesday</v>
      </c>
      <c r="D75" s="1"/>
      <c r="E75" s="9"/>
    </row>
    <row r="76" spans="1:5" x14ac:dyDescent="0.25">
      <c r="A76" s="1">
        <f>WORKDAY($E$3,71,Publicholiday[Correct Date])</f>
        <v>45763</v>
      </c>
      <c r="B76" t="str">
        <f t="shared" si="1"/>
        <v>Wednesday</v>
      </c>
      <c r="D76" s="1"/>
    </row>
    <row r="77" spans="1:5" x14ac:dyDescent="0.25">
      <c r="A77" s="1">
        <f>WORKDAY($E$3,72,Publicholiday[Correct Date])</f>
        <v>45764</v>
      </c>
      <c r="B77" t="str">
        <f t="shared" si="1"/>
        <v>Thursday</v>
      </c>
      <c r="D77" s="1"/>
      <c r="E77" s="9"/>
    </row>
    <row r="78" spans="1:5" x14ac:dyDescent="0.25">
      <c r="A78" s="1">
        <f>WORKDAY($E$3,73,Publicholiday[Correct Date])</f>
        <v>45769</v>
      </c>
      <c r="B78" t="str">
        <f t="shared" si="1"/>
        <v>Tuesday</v>
      </c>
      <c r="D78" s="1"/>
    </row>
    <row r="79" spans="1:5" x14ac:dyDescent="0.25">
      <c r="A79" s="1">
        <f>WORKDAY($E$3,74,Publicholiday[Correct Date])</f>
        <v>45770</v>
      </c>
      <c r="B79" t="str">
        <f t="shared" si="1"/>
        <v>Wednesday</v>
      </c>
      <c r="D79" s="1"/>
      <c r="E79" s="9"/>
    </row>
    <row r="80" spans="1:5" x14ac:dyDescent="0.25">
      <c r="A80" s="1">
        <f>WORKDAY($E$3,75,Publicholiday[Correct Date])</f>
        <v>45771</v>
      </c>
      <c r="B80" t="str">
        <f t="shared" si="1"/>
        <v>Thursday</v>
      </c>
      <c r="D80" s="1"/>
    </row>
    <row r="81" spans="1:5" x14ac:dyDescent="0.25">
      <c r="A81" s="1">
        <f>WORKDAY($E$3,76,Publicholiday[Correct Date])</f>
        <v>45772</v>
      </c>
      <c r="B81" t="str">
        <f t="shared" si="1"/>
        <v>Friday</v>
      </c>
      <c r="D81" s="1"/>
      <c r="E81" s="9"/>
    </row>
    <row r="82" spans="1:5" x14ac:dyDescent="0.25">
      <c r="A82" s="1">
        <f>WORKDAY($E$3,77,Publicholiday[Correct Date])</f>
        <v>45775</v>
      </c>
      <c r="B82" t="str">
        <f t="shared" si="1"/>
        <v>Monday</v>
      </c>
      <c r="D82" s="1"/>
    </row>
    <row r="83" spans="1:5" x14ac:dyDescent="0.25">
      <c r="A83" s="1">
        <f>WORKDAY($E$3,78,Publicholiday[Correct Date])</f>
        <v>45776</v>
      </c>
      <c r="B83" t="str">
        <f t="shared" si="1"/>
        <v>Tuesday</v>
      </c>
      <c r="D83" s="1"/>
      <c r="E83" s="9"/>
    </row>
    <row r="84" spans="1:5" x14ac:dyDescent="0.25">
      <c r="A84" s="1">
        <f>WORKDAY($E$3,79,Publicholiday[Correct Date])</f>
        <v>45777</v>
      </c>
      <c r="B84" t="str">
        <f t="shared" si="1"/>
        <v>Wednesday</v>
      </c>
      <c r="D84" s="1"/>
    </row>
    <row r="85" spans="1:5" x14ac:dyDescent="0.25">
      <c r="A85" s="1">
        <f>WORKDAY($E$3,80,Publicholiday[Correct Date])</f>
        <v>45779</v>
      </c>
      <c r="B85" t="str">
        <f t="shared" si="1"/>
        <v>Friday</v>
      </c>
      <c r="D85" s="1"/>
      <c r="E85" s="9"/>
    </row>
    <row r="86" spans="1:5" x14ac:dyDescent="0.25">
      <c r="A86" s="1">
        <f>WORKDAY($E$3,81,Publicholiday[Correct Date])</f>
        <v>45783</v>
      </c>
      <c r="B86" t="str">
        <f t="shared" si="1"/>
        <v>Tuesday</v>
      </c>
      <c r="D86" s="1"/>
    </row>
    <row r="87" spans="1:5" x14ac:dyDescent="0.25">
      <c r="A87" s="1">
        <f>WORKDAY($E$3,82,Publicholiday[Correct Date])</f>
        <v>45784</v>
      </c>
      <c r="B87" t="str">
        <f t="shared" si="1"/>
        <v>Wednesday</v>
      </c>
      <c r="D87" s="1"/>
      <c r="E87" s="9"/>
    </row>
    <row r="88" spans="1:5" x14ac:dyDescent="0.25">
      <c r="A88" s="1">
        <f>WORKDAY($E$3,83,Publicholiday[Correct Date])</f>
        <v>45785</v>
      </c>
      <c r="B88" t="str">
        <f t="shared" si="1"/>
        <v>Thursday</v>
      </c>
      <c r="D88" s="1"/>
    </row>
    <row r="89" spans="1:5" x14ac:dyDescent="0.25">
      <c r="A89" s="1">
        <f>WORKDAY($E$3,84,Publicholiday[Correct Date])</f>
        <v>45786</v>
      </c>
      <c r="B89" t="str">
        <f t="shared" si="1"/>
        <v>Friday</v>
      </c>
      <c r="D89" s="1"/>
      <c r="E89" s="9"/>
    </row>
    <row r="90" spans="1:5" x14ac:dyDescent="0.25">
      <c r="A90" s="1">
        <f>WORKDAY($E$3,85,Publicholiday[Correct Date])</f>
        <v>45789</v>
      </c>
      <c r="B90" t="str">
        <f t="shared" si="1"/>
        <v>Monday</v>
      </c>
      <c r="D90" s="1"/>
    </row>
    <row r="91" spans="1:5" x14ac:dyDescent="0.25">
      <c r="A91" s="1">
        <f>WORKDAY($E$3,86,Publicholiday[Correct Date])</f>
        <v>45790</v>
      </c>
      <c r="B91" t="str">
        <f t="shared" si="1"/>
        <v>Tuesday</v>
      </c>
      <c r="D91" s="1"/>
      <c r="E91" s="9"/>
    </row>
    <row r="92" spans="1:5" x14ac:dyDescent="0.25">
      <c r="A92" s="1">
        <f>WORKDAY($E$3,87,Publicholiday[Correct Date])</f>
        <v>45791</v>
      </c>
      <c r="B92" t="str">
        <f t="shared" si="1"/>
        <v>Wednesday</v>
      </c>
      <c r="D92" s="1"/>
    </row>
    <row r="93" spans="1:5" x14ac:dyDescent="0.25">
      <c r="A93" s="1">
        <f>WORKDAY($E$3,88,Publicholiday[Correct Date])</f>
        <v>45792</v>
      </c>
      <c r="B93" t="str">
        <f t="shared" si="1"/>
        <v>Thursday</v>
      </c>
      <c r="D93" s="1"/>
      <c r="E93" s="9"/>
    </row>
    <row r="94" spans="1:5" x14ac:dyDescent="0.25">
      <c r="A94" s="1">
        <f>WORKDAY($E$3,89,Publicholiday[Correct Date])</f>
        <v>45793</v>
      </c>
      <c r="B94" t="str">
        <f t="shared" si="1"/>
        <v>Friday</v>
      </c>
      <c r="D94" s="1"/>
    </row>
    <row r="95" spans="1:5" x14ac:dyDescent="0.25">
      <c r="A95" s="1">
        <f>WORKDAY($E$3,90,Publicholiday[Correct Date])</f>
        <v>45796</v>
      </c>
      <c r="B95" t="str">
        <f t="shared" si="1"/>
        <v>Monday</v>
      </c>
      <c r="D95" s="1"/>
      <c r="E95" s="9"/>
    </row>
    <row r="96" spans="1:5" x14ac:dyDescent="0.25">
      <c r="A96" s="1">
        <f>WORKDAY($E$3,91,Publicholiday[Correct Date])</f>
        <v>45797</v>
      </c>
      <c r="B96" t="str">
        <f t="shared" si="1"/>
        <v>Tuesday</v>
      </c>
      <c r="D96" s="1"/>
    </row>
    <row r="97" spans="1:5" x14ac:dyDescent="0.25">
      <c r="A97" s="1">
        <f>WORKDAY($E$3,92,Publicholiday[Correct Date])</f>
        <v>45798</v>
      </c>
      <c r="B97" t="str">
        <f t="shared" si="1"/>
        <v>Wednesday</v>
      </c>
      <c r="D97" s="1"/>
      <c r="E97" s="9"/>
    </row>
    <row r="98" spans="1:5" x14ac:dyDescent="0.25">
      <c r="A98" s="1">
        <f>WORKDAY($E$3,93,Publicholiday[Correct Date])</f>
        <v>45799</v>
      </c>
      <c r="B98" t="str">
        <f t="shared" si="1"/>
        <v>Thursday</v>
      </c>
      <c r="D98" s="1"/>
    </row>
    <row r="99" spans="1:5" x14ac:dyDescent="0.25">
      <c r="A99" s="1">
        <f>WORKDAY($E$3,94,Publicholiday[Correct Date])</f>
        <v>45800</v>
      </c>
      <c r="B99" t="str">
        <f t="shared" si="1"/>
        <v>Friday</v>
      </c>
      <c r="D99" s="1"/>
      <c r="E99" s="9"/>
    </row>
    <row r="100" spans="1:5" x14ac:dyDescent="0.25">
      <c r="A100" s="1">
        <f>WORKDAY($E$3,95,Publicholiday[Correct Date])</f>
        <v>45803</v>
      </c>
      <c r="B100" t="str">
        <f t="shared" si="1"/>
        <v>Monday</v>
      </c>
      <c r="D100" s="1"/>
    </row>
    <row r="101" spans="1:5" x14ac:dyDescent="0.25">
      <c r="A101" s="1">
        <f>WORKDAY($E$3,96,Publicholiday[Correct Date])</f>
        <v>45804</v>
      </c>
      <c r="B101" t="str">
        <f t="shared" si="1"/>
        <v>Tuesday</v>
      </c>
      <c r="D101" s="1"/>
      <c r="E101" s="9"/>
    </row>
    <row r="102" spans="1:5" x14ac:dyDescent="0.25">
      <c r="A102" s="1">
        <f>WORKDAY($E$3,97,Publicholiday[Correct Date])</f>
        <v>45805</v>
      </c>
      <c r="B102" t="str">
        <f t="shared" si="1"/>
        <v>Wednesday</v>
      </c>
      <c r="D102" s="1"/>
    </row>
    <row r="103" spans="1:5" x14ac:dyDescent="0.25">
      <c r="A103" s="1">
        <f>WORKDAY($E$3,98,Publicholiday[Correct Date])</f>
        <v>45806</v>
      </c>
      <c r="B103" t="str">
        <f t="shared" si="1"/>
        <v>Thursday</v>
      </c>
      <c r="D103" s="1"/>
      <c r="E103" s="9"/>
    </row>
    <row r="104" spans="1:5" x14ac:dyDescent="0.25">
      <c r="A104" s="1">
        <f>WORKDAY($E$3,99,Publicholiday[Correct Date])</f>
        <v>45807</v>
      </c>
      <c r="B104" t="str">
        <f t="shared" si="1"/>
        <v>Friday</v>
      </c>
      <c r="D104" s="1"/>
    </row>
    <row r="105" spans="1:5" x14ac:dyDescent="0.25">
      <c r="A105" s="1">
        <f>WORKDAY($E$3,100,Publicholiday[Correct Date])</f>
        <v>45810</v>
      </c>
      <c r="B105" t="str">
        <f t="shared" si="1"/>
        <v>Monday</v>
      </c>
      <c r="D105" s="1"/>
      <c r="E105" s="9"/>
    </row>
    <row r="106" spans="1:5" x14ac:dyDescent="0.25">
      <c r="A106" s="1">
        <f>WORKDAY($E$3,101,Publicholiday[Correct Date])</f>
        <v>45811</v>
      </c>
      <c r="B106" t="str">
        <f t="shared" si="1"/>
        <v>Tuesday</v>
      </c>
      <c r="D106" s="1"/>
    </row>
    <row r="107" spans="1:5" x14ac:dyDescent="0.25">
      <c r="A107" s="1">
        <f>WORKDAY($E$3,102,Publicholiday[Correct Date])</f>
        <v>45812</v>
      </c>
      <c r="B107" t="str">
        <f t="shared" si="1"/>
        <v>Wednesday</v>
      </c>
      <c r="D107" s="1"/>
      <c r="E107" s="9"/>
    </row>
    <row r="108" spans="1:5" x14ac:dyDescent="0.25">
      <c r="A108" s="1">
        <f>WORKDAY($E$3,103,Publicholiday[Correct Date])</f>
        <v>45813</v>
      </c>
      <c r="B108" t="str">
        <f t="shared" si="1"/>
        <v>Thursday</v>
      </c>
      <c r="D108" s="1"/>
    </row>
    <row r="109" spans="1:5" x14ac:dyDescent="0.25">
      <c r="A109" s="1">
        <f>WORKDAY($E$3,104,Publicholiday[Correct Date])</f>
        <v>45814</v>
      </c>
      <c r="B109" t="str">
        <f t="shared" si="1"/>
        <v>Friday</v>
      </c>
      <c r="D109" s="1"/>
      <c r="E109" s="9"/>
    </row>
    <row r="110" spans="1:5" x14ac:dyDescent="0.25">
      <c r="A110" s="1">
        <f>WORKDAY($E$3,105,Publicholiday[Correct Date])</f>
        <v>45817</v>
      </c>
      <c r="B110" t="str">
        <f t="shared" si="1"/>
        <v>Monday</v>
      </c>
      <c r="D110" s="1"/>
    </row>
    <row r="111" spans="1:5" x14ac:dyDescent="0.25">
      <c r="A111" s="1">
        <f>WORKDAY($E$3,106,Publicholiday[Correct Date])</f>
        <v>45818</v>
      </c>
      <c r="B111" t="str">
        <f t="shared" si="1"/>
        <v>Tuesday</v>
      </c>
      <c r="D111" s="1"/>
      <c r="E111" s="9"/>
    </row>
    <row r="112" spans="1:5" x14ac:dyDescent="0.25">
      <c r="A112" s="1">
        <f>WORKDAY($E$3,107,Publicholiday[Correct Date])</f>
        <v>45819</v>
      </c>
      <c r="B112" t="str">
        <f t="shared" si="1"/>
        <v>Wednesday</v>
      </c>
      <c r="D112" s="1"/>
    </row>
    <row r="113" spans="1:5" x14ac:dyDescent="0.25">
      <c r="A113" s="1">
        <f>WORKDAY($E$3,108,Publicholiday[Correct Date])</f>
        <v>45820</v>
      </c>
      <c r="B113" t="str">
        <f t="shared" si="1"/>
        <v>Thursday</v>
      </c>
      <c r="D113" s="1"/>
      <c r="E113" s="9"/>
    </row>
    <row r="114" spans="1:5" x14ac:dyDescent="0.25">
      <c r="A114" s="1">
        <f>WORKDAY($E$3,109,Publicholiday[Correct Date])</f>
        <v>45821</v>
      </c>
      <c r="B114" t="str">
        <f t="shared" si="1"/>
        <v>Friday</v>
      </c>
      <c r="D114" s="1"/>
    </row>
    <row r="115" spans="1:5" x14ac:dyDescent="0.25">
      <c r="A115" s="1">
        <f>WORKDAY($E$3,110,Publicholiday[Correct Date])</f>
        <v>45824</v>
      </c>
      <c r="B115" t="str">
        <f t="shared" si="1"/>
        <v>Monday</v>
      </c>
      <c r="D115" s="1"/>
      <c r="E115" s="9"/>
    </row>
    <row r="116" spans="1:5" x14ac:dyDescent="0.25">
      <c r="A116" s="1">
        <f>WORKDAY($E$3,111,Publicholiday[Correct Date])</f>
        <v>45825</v>
      </c>
      <c r="B116" t="str">
        <f t="shared" si="1"/>
        <v>Tuesday</v>
      </c>
      <c r="D116" s="1"/>
    </row>
    <row r="117" spans="1:5" x14ac:dyDescent="0.25">
      <c r="A117" s="1">
        <f>WORKDAY($E$3,112,Publicholiday[Correct Date])</f>
        <v>45826</v>
      </c>
      <c r="B117" t="str">
        <f t="shared" si="1"/>
        <v>Wednesday</v>
      </c>
      <c r="D117" s="1"/>
      <c r="E117" s="9"/>
    </row>
    <row r="118" spans="1:5" x14ac:dyDescent="0.25">
      <c r="A118" s="1">
        <f>WORKDAY($E$3,113,Publicholiday[Correct Date])</f>
        <v>45827</v>
      </c>
      <c r="B118" t="str">
        <f t="shared" si="1"/>
        <v>Thursday</v>
      </c>
      <c r="D118" s="1"/>
    </row>
    <row r="119" spans="1:5" x14ac:dyDescent="0.25">
      <c r="A119" s="1">
        <f>WORKDAY($E$3,114,Publicholiday[Correct Date])</f>
        <v>45828</v>
      </c>
      <c r="B119" t="str">
        <f t="shared" si="1"/>
        <v>Friday</v>
      </c>
      <c r="D119" s="1"/>
      <c r="E119" s="9"/>
    </row>
    <row r="120" spans="1:5" x14ac:dyDescent="0.25">
      <c r="A120" s="1">
        <f>WORKDAY($E$3,115,Publicholiday[Correct Date])</f>
        <v>45831</v>
      </c>
      <c r="B120" t="str">
        <f t="shared" si="1"/>
        <v>Monday</v>
      </c>
      <c r="D120" s="1"/>
    </row>
    <row r="121" spans="1:5" x14ac:dyDescent="0.25">
      <c r="A121" s="1">
        <f>WORKDAY($E$3,116,Publicholiday[Correct Date])</f>
        <v>45832</v>
      </c>
      <c r="B121" t="str">
        <f t="shared" si="1"/>
        <v>Tuesday</v>
      </c>
      <c r="D121" s="1"/>
      <c r="E121" s="9"/>
    </row>
    <row r="122" spans="1:5" x14ac:dyDescent="0.25">
      <c r="A122" s="1">
        <f>WORKDAY($E$3,117,Publicholiday[Correct Date])</f>
        <v>45833</v>
      </c>
      <c r="B122" t="str">
        <f t="shared" si="1"/>
        <v>Wednesday</v>
      </c>
      <c r="D122" s="1"/>
    </row>
    <row r="123" spans="1:5" x14ac:dyDescent="0.25">
      <c r="A123" s="1">
        <f>WORKDAY($E$3,118,Publicholiday[Correct Date])</f>
        <v>45834</v>
      </c>
      <c r="B123" t="str">
        <f t="shared" si="1"/>
        <v>Thursday</v>
      </c>
      <c r="D123" s="1"/>
      <c r="E123" s="9"/>
    </row>
    <row r="124" spans="1:5" x14ac:dyDescent="0.25">
      <c r="A124" s="1">
        <f>WORKDAY($E$3,119,Publicholiday[Correct Date])</f>
        <v>45835</v>
      </c>
      <c r="B124" t="str">
        <f t="shared" si="1"/>
        <v>Friday</v>
      </c>
      <c r="D124" s="1"/>
    </row>
    <row r="125" spans="1:5" x14ac:dyDescent="0.25">
      <c r="A125" s="1">
        <f>WORKDAY($E$3,120,Publicholiday[Correct Date])</f>
        <v>45838</v>
      </c>
      <c r="B125" t="str">
        <f t="shared" si="1"/>
        <v>Monday</v>
      </c>
      <c r="D125" s="1"/>
      <c r="E125" s="9"/>
    </row>
    <row r="126" spans="1:5" x14ac:dyDescent="0.25">
      <c r="A126" s="1">
        <f>WORKDAY($E$3,121,Publicholiday[Correct Date])</f>
        <v>45840</v>
      </c>
      <c r="B126" t="str">
        <f t="shared" si="1"/>
        <v>Wednesday</v>
      </c>
      <c r="D126" s="1"/>
    </row>
    <row r="127" spans="1:5" x14ac:dyDescent="0.25">
      <c r="A127" s="1">
        <f>WORKDAY($E$3,122,Publicholiday[Correct Date])</f>
        <v>45841</v>
      </c>
      <c r="B127" t="str">
        <f t="shared" si="1"/>
        <v>Thursday</v>
      </c>
      <c r="D127" s="1"/>
      <c r="E127" s="9"/>
    </row>
    <row r="128" spans="1:5" x14ac:dyDescent="0.25">
      <c r="A128" s="1">
        <f>WORKDAY($E$3,123,Publicholiday[Correct Date])</f>
        <v>45842</v>
      </c>
      <c r="B128" t="str">
        <f t="shared" si="1"/>
        <v>Friday</v>
      </c>
      <c r="D128" s="1"/>
    </row>
    <row r="129" spans="1:5" x14ac:dyDescent="0.25">
      <c r="A129" s="1">
        <f>WORKDAY($E$3,124,Publicholiday[Correct Date])</f>
        <v>45845</v>
      </c>
      <c r="B129" t="str">
        <f t="shared" si="1"/>
        <v>Monday</v>
      </c>
      <c r="D129" s="1"/>
      <c r="E129" s="9"/>
    </row>
    <row r="130" spans="1:5" x14ac:dyDescent="0.25">
      <c r="A130" s="1">
        <f>WORKDAY($E$3,125,Publicholiday[Correct Date])</f>
        <v>45846</v>
      </c>
      <c r="B130" t="str">
        <f t="shared" si="1"/>
        <v>Tuesday</v>
      </c>
      <c r="D130" s="1"/>
    </row>
    <row r="131" spans="1:5" x14ac:dyDescent="0.25">
      <c r="A131" s="1">
        <f>WORKDAY($E$3,126,Publicholiday[Correct Date])</f>
        <v>45847</v>
      </c>
      <c r="B131" t="str">
        <f t="shared" si="1"/>
        <v>Wednesday</v>
      </c>
      <c r="D131" s="1"/>
      <c r="E131" s="9"/>
    </row>
    <row r="132" spans="1:5" x14ac:dyDescent="0.25">
      <c r="A132" s="1">
        <f>WORKDAY($E$3,127,Publicholiday[Correct Date])</f>
        <v>45848</v>
      </c>
      <c r="B132" t="str">
        <f t="shared" si="1"/>
        <v>Thursday</v>
      </c>
      <c r="D132" s="1"/>
    </row>
    <row r="133" spans="1:5" x14ac:dyDescent="0.25">
      <c r="A133" s="1">
        <f>WORKDAY($E$3,128,Publicholiday[Correct Date])</f>
        <v>45849</v>
      </c>
      <c r="B133" t="str">
        <f t="shared" si="1"/>
        <v>Friday</v>
      </c>
      <c r="D133" s="1"/>
      <c r="E133" s="9"/>
    </row>
    <row r="134" spans="1:5" x14ac:dyDescent="0.25">
      <c r="A134" s="1">
        <f>WORKDAY($E$3,129,Publicholiday[Correct Date])</f>
        <v>45852</v>
      </c>
      <c r="B134" t="str">
        <f t="shared" si="1"/>
        <v>Monday</v>
      </c>
      <c r="D134" s="1"/>
    </row>
    <row r="135" spans="1:5" x14ac:dyDescent="0.25">
      <c r="A135" s="1">
        <f>WORKDAY($E$3,130,Publicholiday[Correct Date])</f>
        <v>45853</v>
      </c>
      <c r="B135" t="str">
        <f t="shared" ref="B135:B198" si="2">TEXT(A135,"dddd")</f>
        <v>Tuesday</v>
      </c>
      <c r="D135" s="1"/>
      <c r="E135" s="9"/>
    </row>
    <row r="136" spans="1:5" x14ac:dyDescent="0.25">
      <c r="A136" s="1">
        <f>WORKDAY($E$3,131,Publicholiday[Correct Date])</f>
        <v>45854</v>
      </c>
      <c r="B136" t="str">
        <f t="shared" si="2"/>
        <v>Wednesday</v>
      </c>
      <c r="D136" s="1"/>
    </row>
    <row r="137" spans="1:5" x14ac:dyDescent="0.25">
      <c r="A137" s="1">
        <f>WORKDAY($E$3,132,Publicholiday[Correct Date])</f>
        <v>45855</v>
      </c>
      <c r="B137" t="str">
        <f t="shared" si="2"/>
        <v>Thursday</v>
      </c>
      <c r="D137" s="1"/>
      <c r="E137" s="9"/>
    </row>
    <row r="138" spans="1:5" x14ac:dyDescent="0.25">
      <c r="A138" s="1">
        <f>WORKDAY($E$3,133,Publicholiday[Correct Date])</f>
        <v>45856</v>
      </c>
      <c r="B138" t="str">
        <f t="shared" si="2"/>
        <v>Friday</v>
      </c>
      <c r="D138" s="1"/>
    </row>
    <row r="139" spans="1:5" x14ac:dyDescent="0.25">
      <c r="A139" s="1">
        <f>WORKDAY($E$3,134,Publicholiday[Correct Date])</f>
        <v>45859</v>
      </c>
      <c r="B139" t="str">
        <f t="shared" si="2"/>
        <v>Monday</v>
      </c>
      <c r="D139" s="1"/>
      <c r="E139" s="9"/>
    </row>
    <row r="140" spans="1:5" x14ac:dyDescent="0.25">
      <c r="A140" s="1">
        <f>WORKDAY($E$3,135,Publicholiday[Correct Date])</f>
        <v>45860</v>
      </c>
      <c r="B140" t="str">
        <f t="shared" si="2"/>
        <v>Tuesday</v>
      </c>
      <c r="D140" s="1"/>
    </row>
    <row r="141" spans="1:5" x14ac:dyDescent="0.25">
      <c r="A141" s="1">
        <f>WORKDAY($E$3,136,Publicholiday[Correct Date])</f>
        <v>45861</v>
      </c>
      <c r="B141" t="str">
        <f t="shared" si="2"/>
        <v>Wednesday</v>
      </c>
      <c r="D141" s="1"/>
      <c r="E141" s="9"/>
    </row>
    <row r="142" spans="1:5" x14ac:dyDescent="0.25">
      <c r="A142" s="1">
        <f>WORKDAY($E$3,137,Publicholiday[Correct Date])</f>
        <v>45862</v>
      </c>
      <c r="B142" t="str">
        <f t="shared" si="2"/>
        <v>Thursday</v>
      </c>
      <c r="D142" s="1"/>
    </row>
    <row r="143" spans="1:5" x14ac:dyDescent="0.25">
      <c r="A143" s="1">
        <f>WORKDAY($E$3,138,Publicholiday[Correct Date])</f>
        <v>45863</v>
      </c>
      <c r="B143" t="str">
        <f t="shared" si="2"/>
        <v>Friday</v>
      </c>
      <c r="D143" s="1"/>
      <c r="E143" s="9"/>
    </row>
    <row r="144" spans="1:5" x14ac:dyDescent="0.25">
      <c r="A144" s="1">
        <f>WORKDAY($E$3,139,Publicholiday[Correct Date])</f>
        <v>45866</v>
      </c>
      <c r="B144" t="str">
        <f t="shared" si="2"/>
        <v>Monday</v>
      </c>
      <c r="D144" s="1"/>
    </row>
    <row r="145" spans="1:5" x14ac:dyDescent="0.25">
      <c r="A145" s="1">
        <f>WORKDAY($E$3,140,Publicholiday[Correct Date])</f>
        <v>45867</v>
      </c>
      <c r="B145" t="str">
        <f t="shared" si="2"/>
        <v>Tuesday</v>
      </c>
      <c r="D145" s="1"/>
      <c r="E145" s="9"/>
    </row>
    <row r="146" spans="1:5" x14ac:dyDescent="0.25">
      <c r="A146" s="1">
        <f>WORKDAY($E$3,141,Publicholiday[Correct Date])</f>
        <v>45868</v>
      </c>
      <c r="B146" t="str">
        <f t="shared" si="2"/>
        <v>Wednesday</v>
      </c>
      <c r="D146" s="1"/>
    </row>
    <row r="147" spans="1:5" x14ac:dyDescent="0.25">
      <c r="A147" s="1">
        <f>WORKDAY($E$3,142,Publicholiday[Correct Date])</f>
        <v>45869</v>
      </c>
      <c r="B147" t="str">
        <f t="shared" si="2"/>
        <v>Thursday</v>
      </c>
      <c r="D147" s="1"/>
      <c r="E147" s="9"/>
    </row>
    <row r="148" spans="1:5" x14ac:dyDescent="0.25">
      <c r="A148" s="1">
        <f>WORKDAY($E$3,143,Publicholiday[Correct Date])</f>
        <v>45870</v>
      </c>
      <c r="B148" t="str">
        <f t="shared" si="2"/>
        <v>Friday</v>
      </c>
      <c r="D148" s="1"/>
    </row>
    <row r="149" spans="1:5" x14ac:dyDescent="0.25">
      <c r="A149" s="1">
        <f>WORKDAY($E$3,144,Publicholiday[Correct Date])</f>
        <v>45873</v>
      </c>
      <c r="B149" t="str">
        <f t="shared" si="2"/>
        <v>Monday</v>
      </c>
      <c r="D149" s="1"/>
      <c r="E149" s="9"/>
    </row>
    <row r="150" spans="1:5" x14ac:dyDescent="0.25">
      <c r="A150" s="1">
        <f>WORKDAY($E$3,145,Publicholiday[Correct Date])</f>
        <v>45874</v>
      </c>
      <c r="B150" t="str">
        <f t="shared" si="2"/>
        <v>Tuesday</v>
      </c>
      <c r="D150" s="1"/>
    </row>
    <row r="151" spans="1:5" x14ac:dyDescent="0.25">
      <c r="A151" s="1">
        <f>WORKDAY($E$3,146,Publicholiday[Correct Date])</f>
        <v>45875</v>
      </c>
      <c r="B151" t="str">
        <f t="shared" si="2"/>
        <v>Wednesday</v>
      </c>
      <c r="D151" s="1"/>
      <c r="E151" s="9"/>
    </row>
    <row r="152" spans="1:5" x14ac:dyDescent="0.25">
      <c r="A152" s="1">
        <f>WORKDAY($E$3,147,Publicholiday[Correct Date])</f>
        <v>45876</v>
      </c>
      <c r="B152" t="str">
        <f t="shared" si="2"/>
        <v>Thursday</v>
      </c>
      <c r="D152" s="1"/>
    </row>
    <row r="153" spans="1:5" x14ac:dyDescent="0.25">
      <c r="A153" s="1">
        <f>WORKDAY($E$3,148,Publicholiday[Correct Date])</f>
        <v>45877</v>
      </c>
      <c r="B153" t="str">
        <f t="shared" si="2"/>
        <v>Friday</v>
      </c>
      <c r="D153" s="1"/>
      <c r="E153" s="9"/>
    </row>
    <row r="154" spans="1:5" x14ac:dyDescent="0.25">
      <c r="A154" s="1">
        <f>WORKDAY($E$3,149,Publicholiday[Correct Date])</f>
        <v>45880</v>
      </c>
      <c r="B154" t="str">
        <f t="shared" si="2"/>
        <v>Monday</v>
      </c>
      <c r="D154" s="1"/>
    </row>
    <row r="155" spans="1:5" x14ac:dyDescent="0.25">
      <c r="A155" s="1">
        <f>WORKDAY($E$3,150,Publicholiday[Correct Date])</f>
        <v>45881</v>
      </c>
      <c r="B155" t="str">
        <f t="shared" si="2"/>
        <v>Tuesday</v>
      </c>
      <c r="D155" s="1"/>
      <c r="E155" s="9"/>
    </row>
    <row r="156" spans="1:5" x14ac:dyDescent="0.25">
      <c r="A156" s="1">
        <f>WORKDAY($E$3,151,Publicholiday[Correct Date])</f>
        <v>45882</v>
      </c>
      <c r="B156" t="str">
        <f t="shared" si="2"/>
        <v>Wednesday</v>
      </c>
      <c r="D156" s="1"/>
    </row>
    <row r="157" spans="1:5" x14ac:dyDescent="0.25">
      <c r="A157" s="1">
        <f>WORKDAY($E$3,152,Publicholiday[Correct Date])</f>
        <v>45883</v>
      </c>
      <c r="B157" t="str">
        <f t="shared" si="2"/>
        <v>Thursday</v>
      </c>
      <c r="D157" s="1"/>
      <c r="E157" s="9"/>
    </row>
    <row r="158" spans="1:5" x14ac:dyDescent="0.25">
      <c r="A158" s="1">
        <f>WORKDAY($E$3,153,Publicholiday[Correct Date])</f>
        <v>45884</v>
      </c>
      <c r="B158" t="str">
        <f t="shared" si="2"/>
        <v>Friday</v>
      </c>
      <c r="D158" s="1"/>
    </row>
    <row r="159" spans="1:5" x14ac:dyDescent="0.25">
      <c r="A159" s="1">
        <f>WORKDAY($E$3,154,Publicholiday[Correct Date])</f>
        <v>45887</v>
      </c>
      <c r="B159" t="str">
        <f t="shared" si="2"/>
        <v>Monday</v>
      </c>
      <c r="D159" s="1"/>
      <c r="E159" s="9"/>
    </row>
    <row r="160" spans="1:5" x14ac:dyDescent="0.25">
      <c r="A160" s="1">
        <f>WORKDAY($E$3,155,Publicholiday[Correct Date])</f>
        <v>45888</v>
      </c>
      <c r="B160" t="str">
        <f t="shared" si="2"/>
        <v>Tuesday</v>
      </c>
      <c r="D160" s="1"/>
    </row>
    <row r="161" spans="1:5" x14ac:dyDescent="0.25">
      <c r="A161" s="1">
        <f>WORKDAY($E$3,156,Publicholiday[Correct Date])</f>
        <v>45889</v>
      </c>
      <c r="B161" t="str">
        <f t="shared" si="2"/>
        <v>Wednesday</v>
      </c>
      <c r="D161" s="1"/>
      <c r="E161" s="9"/>
    </row>
    <row r="162" spans="1:5" x14ac:dyDescent="0.25">
      <c r="A162" s="1">
        <f>WORKDAY($E$3,157,Publicholiday[Correct Date])</f>
        <v>45890</v>
      </c>
      <c r="B162" t="str">
        <f t="shared" si="2"/>
        <v>Thursday</v>
      </c>
      <c r="D162" s="1"/>
    </row>
    <row r="163" spans="1:5" x14ac:dyDescent="0.25">
      <c r="A163" s="1">
        <f>WORKDAY($E$3,158,Publicholiday[Correct Date])</f>
        <v>45891</v>
      </c>
      <c r="B163" t="str">
        <f t="shared" si="2"/>
        <v>Friday</v>
      </c>
      <c r="D163" s="1"/>
      <c r="E163" s="9"/>
    </row>
    <row r="164" spans="1:5" x14ac:dyDescent="0.25">
      <c r="A164" s="1">
        <f>WORKDAY($E$3,159,Publicholiday[Correct Date])</f>
        <v>45894</v>
      </c>
      <c r="B164" t="str">
        <f t="shared" si="2"/>
        <v>Monday</v>
      </c>
      <c r="D164" s="1"/>
    </row>
    <row r="165" spans="1:5" x14ac:dyDescent="0.25">
      <c r="A165" s="1">
        <f>WORKDAY($E$3,160,Publicholiday[Correct Date])</f>
        <v>45895</v>
      </c>
      <c r="B165" t="str">
        <f t="shared" si="2"/>
        <v>Tuesday</v>
      </c>
      <c r="D165" s="1"/>
      <c r="E165" s="9"/>
    </row>
    <row r="166" spans="1:5" x14ac:dyDescent="0.25">
      <c r="A166" s="1">
        <f>WORKDAY($E$3,161,Publicholiday[Correct Date])</f>
        <v>45896</v>
      </c>
      <c r="B166" t="str">
        <f t="shared" si="2"/>
        <v>Wednesday</v>
      </c>
      <c r="D166" s="1"/>
    </row>
    <row r="167" spans="1:5" x14ac:dyDescent="0.25">
      <c r="A167" s="1">
        <f>WORKDAY($E$3,162,Publicholiday[Correct Date])</f>
        <v>45897</v>
      </c>
      <c r="B167" t="str">
        <f t="shared" si="2"/>
        <v>Thursday</v>
      </c>
      <c r="D167" s="1"/>
      <c r="E167" s="9"/>
    </row>
    <row r="168" spans="1:5" x14ac:dyDescent="0.25">
      <c r="A168" s="1">
        <f>WORKDAY($E$3,163,Publicholiday[Correct Date])</f>
        <v>45898</v>
      </c>
      <c r="B168" t="str">
        <f t="shared" si="2"/>
        <v>Friday</v>
      </c>
      <c r="D168" s="1"/>
    </row>
    <row r="169" spans="1:5" x14ac:dyDescent="0.25">
      <c r="A169" s="1">
        <f>WORKDAY($E$3,164,Publicholiday[Correct Date])</f>
        <v>45901</v>
      </c>
      <c r="B169" t="str">
        <f t="shared" si="2"/>
        <v>Monday</v>
      </c>
      <c r="D169" s="1"/>
      <c r="E169" s="9"/>
    </row>
    <row r="170" spans="1:5" x14ac:dyDescent="0.25">
      <c r="A170" s="1">
        <f>WORKDAY($E$3,165,Publicholiday[Correct Date])</f>
        <v>45902</v>
      </c>
      <c r="B170" t="str">
        <f t="shared" si="2"/>
        <v>Tuesday</v>
      </c>
      <c r="D170" s="1"/>
    </row>
    <row r="171" spans="1:5" x14ac:dyDescent="0.25">
      <c r="A171" s="1">
        <f>WORKDAY($E$3,166,Publicholiday[Correct Date])</f>
        <v>45903</v>
      </c>
      <c r="B171" t="str">
        <f t="shared" si="2"/>
        <v>Wednesday</v>
      </c>
      <c r="D171" s="1"/>
      <c r="E171" s="9"/>
    </row>
    <row r="172" spans="1:5" x14ac:dyDescent="0.25">
      <c r="A172" s="1">
        <f>WORKDAY($E$3,167,Publicholiday[Correct Date])</f>
        <v>45904</v>
      </c>
      <c r="B172" t="str">
        <f t="shared" si="2"/>
        <v>Thursday</v>
      </c>
      <c r="D172" s="1"/>
    </row>
    <row r="173" spans="1:5" x14ac:dyDescent="0.25">
      <c r="A173" s="1">
        <f>WORKDAY($E$3,168,Publicholiday[Correct Date])</f>
        <v>45905</v>
      </c>
      <c r="B173" t="str">
        <f t="shared" si="2"/>
        <v>Friday</v>
      </c>
      <c r="D173" s="1"/>
      <c r="E173" s="9"/>
    </row>
    <row r="174" spans="1:5" x14ac:dyDescent="0.25">
      <c r="A174" s="1">
        <f>WORKDAY($E$3,169,Publicholiday[Correct Date])</f>
        <v>45908</v>
      </c>
      <c r="B174" t="str">
        <f t="shared" si="2"/>
        <v>Monday</v>
      </c>
      <c r="D174" s="1"/>
    </row>
    <row r="175" spans="1:5" x14ac:dyDescent="0.25">
      <c r="A175" s="1">
        <f>WORKDAY($E$3,170,Publicholiday[Correct Date])</f>
        <v>45909</v>
      </c>
      <c r="B175" t="str">
        <f t="shared" si="2"/>
        <v>Tuesday</v>
      </c>
      <c r="D175" s="1"/>
      <c r="E175" s="9"/>
    </row>
    <row r="176" spans="1:5" x14ac:dyDescent="0.25">
      <c r="A176" s="1">
        <f>WORKDAY($E$3,171,Publicholiday[Correct Date])</f>
        <v>45910</v>
      </c>
      <c r="B176" t="str">
        <f t="shared" si="2"/>
        <v>Wednesday</v>
      </c>
      <c r="D176" s="1"/>
    </row>
    <row r="177" spans="1:5" x14ac:dyDescent="0.25">
      <c r="A177" s="1">
        <f>WORKDAY($E$3,172,Publicholiday[Correct Date])</f>
        <v>45911</v>
      </c>
      <c r="B177" t="str">
        <f t="shared" si="2"/>
        <v>Thursday</v>
      </c>
      <c r="D177" s="1"/>
      <c r="E177" s="9"/>
    </row>
    <row r="178" spans="1:5" x14ac:dyDescent="0.25">
      <c r="A178" s="1">
        <f>WORKDAY($E$3,173,Publicholiday[Correct Date])</f>
        <v>45912</v>
      </c>
      <c r="B178" t="str">
        <f t="shared" si="2"/>
        <v>Friday</v>
      </c>
      <c r="D178" s="1"/>
    </row>
    <row r="179" spans="1:5" x14ac:dyDescent="0.25">
      <c r="A179" s="1">
        <f>WORKDAY($E$3,174,Publicholiday[Correct Date])</f>
        <v>45915</v>
      </c>
      <c r="B179" t="str">
        <f t="shared" si="2"/>
        <v>Monday</v>
      </c>
      <c r="D179" s="1"/>
      <c r="E179" s="9"/>
    </row>
    <row r="180" spans="1:5" x14ac:dyDescent="0.25">
      <c r="A180" s="1">
        <f>WORKDAY($E$3,175,Publicholiday[Correct Date])</f>
        <v>45916</v>
      </c>
      <c r="B180" t="str">
        <f t="shared" si="2"/>
        <v>Tuesday</v>
      </c>
      <c r="D180" s="1"/>
    </row>
    <row r="181" spans="1:5" x14ac:dyDescent="0.25">
      <c r="A181" s="1">
        <f>WORKDAY($E$3,176,Publicholiday[Correct Date])</f>
        <v>45917</v>
      </c>
      <c r="B181" t="str">
        <f t="shared" si="2"/>
        <v>Wednesday</v>
      </c>
      <c r="D181" s="1"/>
      <c r="E181" s="9"/>
    </row>
    <row r="182" spans="1:5" x14ac:dyDescent="0.25">
      <c r="A182" s="1">
        <f>WORKDAY($E$3,177,Publicholiday[Correct Date])</f>
        <v>45918</v>
      </c>
      <c r="B182" t="str">
        <f t="shared" si="2"/>
        <v>Thursday</v>
      </c>
      <c r="D182" s="1"/>
    </row>
    <row r="183" spans="1:5" x14ac:dyDescent="0.25">
      <c r="A183" s="1">
        <f>WORKDAY($E$3,178,Publicholiday[Correct Date])</f>
        <v>45919</v>
      </c>
      <c r="B183" t="str">
        <f t="shared" si="2"/>
        <v>Friday</v>
      </c>
      <c r="D183" s="1"/>
      <c r="E183" s="9"/>
    </row>
    <row r="184" spans="1:5" x14ac:dyDescent="0.25">
      <c r="A184" s="1">
        <f>WORKDAY($E$3,179,Publicholiday[Correct Date])</f>
        <v>45922</v>
      </c>
      <c r="B184" t="str">
        <f t="shared" si="2"/>
        <v>Monday</v>
      </c>
      <c r="D184" s="1"/>
    </row>
    <row r="185" spans="1:5" x14ac:dyDescent="0.25">
      <c r="A185" s="1">
        <f>WORKDAY($E$3,180,Publicholiday[Correct Date])</f>
        <v>45923</v>
      </c>
      <c r="B185" t="str">
        <f t="shared" si="2"/>
        <v>Tuesday</v>
      </c>
      <c r="D185" s="1"/>
      <c r="E185" s="9"/>
    </row>
    <row r="186" spans="1:5" x14ac:dyDescent="0.25">
      <c r="A186" s="1">
        <f>WORKDAY($E$3,181,Publicholiday[Correct Date])</f>
        <v>45924</v>
      </c>
      <c r="B186" t="str">
        <f t="shared" si="2"/>
        <v>Wednesday</v>
      </c>
      <c r="D186" s="1"/>
    </row>
    <row r="187" spans="1:5" x14ac:dyDescent="0.25">
      <c r="A187" s="1">
        <f>WORKDAY($E$3,182,Publicholiday[Correct Date])</f>
        <v>45925</v>
      </c>
      <c r="B187" t="str">
        <f t="shared" si="2"/>
        <v>Thursday</v>
      </c>
      <c r="D187" s="1"/>
      <c r="E187" s="9"/>
    </row>
    <row r="188" spans="1:5" x14ac:dyDescent="0.25">
      <c r="A188" s="1">
        <f>WORKDAY($E$3,183,Publicholiday[Correct Date])</f>
        <v>45926</v>
      </c>
      <c r="B188" t="str">
        <f t="shared" si="2"/>
        <v>Friday</v>
      </c>
      <c r="D188" s="1"/>
    </row>
    <row r="189" spans="1:5" x14ac:dyDescent="0.25">
      <c r="A189" s="1">
        <f>WORKDAY($E$3,184,Publicholiday[Correct Date])</f>
        <v>45929</v>
      </c>
      <c r="B189" t="str">
        <f t="shared" si="2"/>
        <v>Monday</v>
      </c>
      <c r="D189" s="1"/>
      <c r="E189" s="9"/>
    </row>
    <row r="190" spans="1:5" x14ac:dyDescent="0.25">
      <c r="A190" s="1">
        <f>WORKDAY($E$3,185,Publicholiday[Correct Date])</f>
        <v>45930</v>
      </c>
      <c r="B190" t="str">
        <f t="shared" si="2"/>
        <v>Tuesday</v>
      </c>
      <c r="D190" s="1"/>
    </row>
    <row r="191" spans="1:5" x14ac:dyDescent="0.25">
      <c r="A191" s="1">
        <f>WORKDAY($E$3,186,Publicholiday[Correct Date])</f>
        <v>45932</v>
      </c>
      <c r="B191" t="str">
        <f t="shared" si="2"/>
        <v>Thursday</v>
      </c>
      <c r="D191" s="1"/>
      <c r="E191" s="9"/>
    </row>
    <row r="192" spans="1:5" x14ac:dyDescent="0.25">
      <c r="A192" s="1">
        <f>WORKDAY($E$3,187,Publicholiday[Correct Date])</f>
        <v>45933</v>
      </c>
      <c r="B192" t="str">
        <f t="shared" si="2"/>
        <v>Friday</v>
      </c>
      <c r="D192" s="1"/>
    </row>
    <row r="193" spans="1:5" x14ac:dyDescent="0.25">
      <c r="A193" s="1">
        <f>WORKDAY($E$3,188,Publicholiday[Correct Date])</f>
        <v>45936</v>
      </c>
      <c r="B193" t="str">
        <f t="shared" si="2"/>
        <v>Monday</v>
      </c>
      <c r="D193" s="1"/>
      <c r="E193" s="9"/>
    </row>
    <row r="194" spans="1:5" x14ac:dyDescent="0.25">
      <c r="A194" s="1">
        <f>WORKDAY($E$3,189,Publicholiday[Correct Date])</f>
        <v>45938</v>
      </c>
      <c r="B194" t="str">
        <f t="shared" si="2"/>
        <v>Wednesday</v>
      </c>
      <c r="D194" s="1"/>
    </row>
    <row r="195" spans="1:5" x14ac:dyDescent="0.25">
      <c r="A195" s="1">
        <f>WORKDAY($E$3,190,Publicholiday[Correct Date])</f>
        <v>45939</v>
      </c>
      <c r="B195" t="str">
        <f t="shared" si="2"/>
        <v>Thursday</v>
      </c>
      <c r="D195" s="1"/>
      <c r="E195" s="9"/>
    </row>
    <row r="196" spans="1:5" x14ac:dyDescent="0.25">
      <c r="A196" s="1">
        <f>WORKDAY($E$3,191,Publicholiday[Correct Date])</f>
        <v>45940</v>
      </c>
      <c r="B196" t="str">
        <f t="shared" si="2"/>
        <v>Friday</v>
      </c>
      <c r="D196" s="1"/>
    </row>
    <row r="197" spans="1:5" x14ac:dyDescent="0.25">
      <c r="A197" s="1">
        <f>WORKDAY($E$3,192,Publicholiday[Correct Date])</f>
        <v>45943</v>
      </c>
      <c r="B197" t="str">
        <f t="shared" si="2"/>
        <v>Monday</v>
      </c>
      <c r="D197" s="1"/>
      <c r="E197" s="9"/>
    </row>
    <row r="198" spans="1:5" x14ac:dyDescent="0.25">
      <c r="A198" s="1">
        <f>WORKDAY($E$3,193,Publicholiday[Correct Date])</f>
        <v>45944</v>
      </c>
      <c r="B198" t="str">
        <f t="shared" si="2"/>
        <v>Tuesday</v>
      </c>
      <c r="D198" s="1"/>
    </row>
    <row r="199" spans="1:5" x14ac:dyDescent="0.25">
      <c r="A199" s="1">
        <f>WORKDAY($E$3,194,Publicholiday[Correct Date])</f>
        <v>45945</v>
      </c>
      <c r="B199" t="str">
        <f t="shared" ref="B199:B262" si="3">TEXT(A199,"dddd")</f>
        <v>Wednesday</v>
      </c>
      <c r="D199" s="1"/>
      <c r="E199" s="9"/>
    </row>
    <row r="200" spans="1:5" x14ac:dyDescent="0.25">
      <c r="A200" s="1">
        <f>WORKDAY($E$3,195,Publicholiday[Correct Date])</f>
        <v>45946</v>
      </c>
      <c r="B200" t="str">
        <f t="shared" si="3"/>
        <v>Thursday</v>
      </c>
      <c r="D200" s="1"/>
    </row>
    <row r="201" spans="1:5" x14ac:dyDescent="0.25">
      <c r="A201" s="1">
        <f>WORKDAY($E$3,196,Publicholiday[Correct Date])</f>
        <v>45947</v>
      </c>
      <c r="B201" t="str">
        <f t="shared" si="3"/>
        <v>Friday</v>
      </c>
      <c r="D201" s="1"/>
      <c r="E201" s="9"/>
    </row>
    <row r="202" spans="1:5" x14ac:dyDescent="0.25">
      <c r="A202" s="1">
        <f>WORKDAY($E$3,197,Publicholiday[Correct Date])</f>
        <v>45950</v>
      </c>
      <c r="B202" t="str">
        <f t="shared" si="3"/>
        <v>Monday</v>
      </c>
      <c r="D202" s="1"/>
    </row>
    <row r="203" spans="1:5" x14ac:dyDescent="0.25">
      <c r="A203" s="1">
        <f>WORKDAY($E$3,198,Publicholiday[Correct Date])</f>
        <v>45951</v>
      </c>
      <c r="B203" t="str">
        <f t="shared" si="3"/>
        <v>Tuesday</v>
      </c>
      <c r="D203" s="1"/>
      <c r="E203" s="9"/>
    </row>
    <row r="204" spans="1:5" x14ac:dyDescent="0.25">
      <c r="A204" s="1">
        <f>WORKDAY($E$3,199,Publicholiday[Correct Date])</f>
        <v>45952</v>
      </c>
      <c r="B204" t="str">
        <f t="shared" si="3"/>
        <v>Wednesday</v>
      </c>
      <c r="D204" s="1"/>
    </row>
    <row r="205" spans="1:5" x14ac:dyDescent="0.25">
      <c r="A205" s="1">
        <f>WORKDAY($E$3,200,Publicholiday[Correct Date])</f>
        <v>45953</v>
      </c>
      <c r="B205" t="str">
        <f t="shared" si="3"/>
        <v>Thursday</v>
      </c>
      <c r="D205" s="1"/>
      <c r="E205" s="9"/>
    </row>
    <row r="206" spans="1:5" x14ac:dyDescent="0.25">
      <c r="A206" s="1">
        <f>WORKDAY($E$3,201,Publicholiday[Correct Date])</f>
        <v>45954</v>
      </c>
      <c r="B206" t="str">
        <f t="shared" si="3"/>
        <v>Friday</v>
      </c>
      <c r="D206" s="1"/>
    </row>
    <row r="207" spans="1:5" x14ac:dyDescent="0.25">
      <c r="A207" s="1">
        <f>WORKDAY($E$3,202,Publicholiday[Correct Date])</f>
        <v>45957</v>
      </c>
      <c r="B207" t="str">
        <f t="shared" si="3"/>
        <v>Monday</v>
      </c>
      <c r="D207" s="1"/>
      <c r="E207" s="9"/>
    </row>
    <row r="208" spans="1:5" x14ac:dyDescent="0.25">
      <c r="A208" s="1">
        <f>WORKDAY($E$3,203,Publicholiday[Correct Date])</f>
        <v>45958</v>
      </c>
      <c r="B208" t="str">
        <f t="shared" si="3"/>
        <v>Tuesday</v>
      </c>
      <c r="D208" s="1"/>
    </row>
    <row r="209" spans="1:5" x14ac:dyDescent="0.25">
      <c r="A209" s="1">
        <f>WORKDAY($E$3,204,Publicholiday[Correct Date])</f>
        <v>45960</v>
      </c>
      <c r="B209" t="str">
        <f t="shared" si="3"/>
        <v>Thursday</v>
      </c>
      <c r="D209" s="1"/>
      <c r="E209" s="9"/>
    </row>
    <row r="210" spans="1:5" x14ac:dyDescent="0.25">
      <c r="A210" s="1">
        <f>WORKDAY($E$3,205,Publicholiday[Correct Date])</f>
        <v>45961</v>
      </c>
      <c r="B210" t="str">
        <f t="shared" si="3"/>
        <v>Friday</v>
      </c>
      <c r="D210" s="1"/>
    </row>
    <row r="211" spans="1:5" x14ac:dyDescent="0.25">
      <c r="A211" s="1">
        <f>WORKDAY($E$3,206,Publicholiday[Correct Date])</f>
        <v>45964</v>
      </c>
      <c r="B211" t="str">
        <f t="shared" si="3"/>
        <v>Monday</v>
      </c>
      <c r="D211" s="1"/>
      <c r="E211" s="9"/>
    </row>
    <row r="212" spans="1:5" x14ac:dyDescent="0.25">
      <c r="A212" s="1">
        <f>WORKDAY($E$3,207,Publicholiday[Correct Date])</f>
        <v>45965</v>
      </c>
      <c r="B212" t="str">
        <f t="shared" si="3"/>
        <v>Tuesday</v>
      </c>
      <c r="D212" s="1"/>
    </row>
    <row r="213" spans="1:5" x14ac:dyDescent="0.25">
      <c r="A213" s="1">
        <f>WORKDAY($E$3,208,Publicholiday[Correct Date])</f>
        <v>45966</v>
      </c>
      <c r="B213" t="str">
        <f t="shared" si="3"/>
        <v>Wednesday</v>
      </c>
      <c r="D213" s="1"/>
      <c r="E213" s="9"/>
    </row>
    <row r="214" spans="1:5" x14ac:dyDescent="0.25">
      <c r="A214" s="1">
        <f>WORKDAY($E$3,209,Publicholiday[Correct Date])</f>
        <v>45967</v>
      </c>
      <c r="B214" t="str">
        <f t="shared" si="3"/>
        <v>Thursday</v>
      </c>
      <c r="D214" s="1"/>
    </row>
    <row r="215" spans="1:5" x14ac:dyDescent="0.25">
      <c r="A215" s="1">
        <f>WORKDAY($E$3,210,Publicholiday[Correct Date])</f>
        <v>45968</v>
      </c>
      <c r="B215" t="str">
        <f t="shared" si="3"/>
        <v>Friday</v>
      </c>
      <c r="D215" s="1"/>
      <c r="E215" s="9"/>
    </row>
    <row r="216" spans="1:5" x14ac:dyDescent="0.25">
      <c r="A216" s="1">
        <f>WORKDAY($E$3,211,Publicholiday[Correct Date])</f>
        <v>45971</v>
      </c>
      <c r="B216" t="str">
        <f t="shared" si="3"/>
        <v>Monday</v>
      </c>
      <c r="D216" s="1"/>
    </row>
    <row r="217" spans="1:5" x14ac:dyDescent="0.25">
      <c r="A217" s="1">
        <f>WORKDAY($E$3,212,Publicholiday[Correct Date])</f>
        <v>45972</v>
      </c>
      <c r="B217" t="str">
        <f t="shared" si="3"/>
        <v>Tuesday</v>
      </c>
      <c r="D217" s="1"/>
      <c r="E217" s="9"/>
    </row>
    <row r="218" spans="1:5" x14ac:dyDescent="0.25">
      <c r="A218" s="1">
        <f>WORKDAY($E$3,213,Publicholiday[Correct Date])</f>
        <v>45973</v>
      </c>
      <c r="B218" t="str">
        <f t="shared" si="3"/>
        <v>Wednesday</v>
      </c>
      <c r="D218" s="1"/>
    </row>
    <row r="219" spans="1:5" x14ac:dyDescent="0.25">
      <c r="A219" s="1">
        <f>WORKDAY($E$3,214,Publicholiday[Correct Date])</f>
        <v>45974</v>
      </c>
      <c r="B219" t="str">
        <f t="shared" si="3"/>
        <v>Thursday</v>
      </c>
      <c r="D219" s="1"/>
      <c r="E219" s="9"/>
    </row>
    <row r="220" spans="1:5" x14ac:dyDescent="0.25">
      <c r="A220" s="1">
        <f>WORKDAY($E$3,215,Publicholiday[Correct Date])</f>
        <v>45975</v>
      </c>
      <c r="B220" t="str">
        <f t="shared" si="3"/>
        <v>Friday</v>
      </c>
      <c r="D220" s="1"/>
    </row>
    <row r="221" spans="1:5" x14ac:dyDescent="0.25">
      <c r="A221" s="1">
        <f>WORKDAY($E$3,216,Publicholiday[Correct Date])</f>
        <v>45978</v>
      </c>
      <c r="B221" t="str">
        <f t="shared" si="3"/>
        <v>Monday</v>
      </c>
      <c r="D221" s="1"/>
      <c r="E221" s="9"/>
    </row>
    <row r="222" spans="1:5" x14ac:dyDescent="0.25">
      <c r="A222" s="1">
        <f>WORKDAY($E$3,217,Publicholiday[Correct Date])</f>
        <v>45979</v>
      </c>
      <c r="B222" t="str">
        <f t="shared" si="3"/>
        <v>Tuesday</v>
      </c>
      <c r="D222" s="1"/>
    </row>
    <row r="223" spans="1:5" x14ac:dyDescent="0.25">
      <c r="A223" s="1">
        <f>WORKDAY($E$3,218,Publicholiday[Correct Date])</f>
        <v>45980</v>
      </c>
      <c r="B223" t="str">
        <f t="shared" si="3"/>
        <v>Wednesday</v>
      </c>
      <c r="D223" s="1"/>
      <c r="E223" s="9"/>
    </row>
    <row r="224" spans="1:5" x14ac:dyDescent="0.25">
      <c r="A224" s="1">
        <f>WORKDAY($E$3,219,Publicholiday[Correct Date])</f>
        <v>45981</v>
      </c>
      <c r="B224" t="str">
        <f t="shared" si="3"/>
        <v>Thursday</v>
      </c>
      <c r="D224" s="1"/>
    </row>
    <row r="225" spans="1:5" x14ac:dyDescent="0.25">
      <c r="A225" s="1">
        <f>WORKDAY($E$3,220,Publicholiday[Correct Date])</f>
        <v>45982</v>
      </c>
      <c r="B225" t="str">
        <f t="shared" si="3"/>
        <v>Friday</v>
      </c>
      <c r="D225" s="1"/>
      <c r="E225" s="9"/>
    </row>
    <row r="226" spans="1:5" x14ac:dyDescent="0.25">
      <c r="A226" s="1">
        <f>WORKDAY($E$3,221,Publicholiday[Correct Date])</f>
        <v>45985</v>
      </c>
      <c r="B226" t="str">
        <f t="shared" si="3"/>
        <v>Monday</v>
      </c>
      <c r="D226" s="1"/>
    </row>
    <row r="227" spans="1:5" x14ac:dyDescent="0.25">
      <c r="A227" s="1">
        <f>WORKDAY($E$3,222,Publicholiday[Correct Date])</f>
        <v>45986</v>
      </c>
      <c r="B227" t="str">
        <f t="shared" si="3"/>
        <v>Tuesday</v>
      </c>
      <c r="D227" s="1"/>
      <c r="E227" s="9"/>
    </row>
    <row r="228" spans="1:5" x14ac:dyDescent="0.25">
      <c r="A228" s="1">
        <f>WORKDAY($E$3,223,Publicholiday[Correct Date])</f>
        <v>45987</v>
      </c>
      <c r="B228" t="str">
        <f t="shared" si="3"/>
        <v>Wednesday</v>
      </c>
      <c r="D228" s="1"/>
    </row>
    <row r="229" spans="1:5" x14ac:dyDescent="0.25">
      <c r="A229" s="1">
        <f>WORKDAY($E$3,224,Publicholiday[Correct Date])</f>
        <v>45988</v>
      </c>
      <c r="B229" t="str">
        <f t="shared" si="3"/>
        <v>Thursday</v>
      </c>
      <c r="D229" s="1"/>
      <c r="E229" s="9"/>
    </row>
    <row r="230" spans="1:5" x14ac:dyDescent="0.25">
      <c r="A230" s="1">
        <f>WORKDAY($E$3,225,Publicholiday[Correct Date])</f>
        <v>45989</v>
      </c>
      <c r="B230" t="str">
        <f t="shared" si="3"/>
        <v>Friday</v>
      </c>
      <c r="D230" s="1"/>
    </row>
    <row r="231" spans="1:5" x14ac:dyDescent="0.25">
      <c r="A231" s="1">
        <f>WORKDAY($E$3,226,Publicholiday[Correct Date])</f>
        <v>45992</v>
      </c>
      <c r="B231" t="str">
        <f t="shared" si="3"/>
        <v>Monday</v>
      </c>
      <c r="D231" s="1"/>
      <c r="E231" s="9"/>
    </row>
    <row r="232" spans="1:5" x14ac:dyDescent="0.25">
      <c r="A232" s="1">
        <f>WORKDAY($E$3,227,Publicholiday[Correct Date])</f>
        <v>45993</v>
      </c>
      <c r="B232" t="str">
        <f t="shared" si="3"/>
        <v>Tuesday</v>
      </c>
      <c r="D232" s="1"/>
    </row>
    <row r="233" spans="1:5" x14ac:dyDescent="0.25">
      <c r="A233" s="1">
        <f>WORKDAY($E$3,228,Publicholiday[Correct Date])</f>
        <v>45994</v>
      </c>
      <c r="B233" t="str">
        <f t="shared" si="3"/>
        <v>Wednesday</v>
      </c>
      <c r="D233" s="1"/>
      <c r="E233" s="9"/>
    </row>
    <row r="234" spans="1:5" x14ac:dyDescent="0.25">
      <c r="A234" s="1">
        <f>WORKDAY($E$3,229,Publicholiday[Correct Date])</f>
        <v>45995</v>
      </c>
      <c r="B234" t="str">
        <f t="shared" si="3"/>
        <v>Thursday</v>
      </c>
      <c r="D234" s="1"/>
    </row>
    <row r="235" spans="1:5" x14ac:dyDescent="0.25">
      <c r="A235" s="1">
        <f>WORKDAY($E$3,230,Publicholiday[Correct Date])</f>
        <v>45996</v>
      </c>
      <c r="B235" t="str">
        <f t="shared" si="3"/>
        <v>Friday</v>
      </c>
      <c r="D235" s="1"/>
      <c r="E235" s="9"/>
    </row>
    <row r="236" spans="1:5" x14ac:dyDescent="0.25">
      <c r="A236" s="1">
        <f>WORKDAY($E$3,231,Publicholiday[Correct Date])</f>
        <v>45999</v>
      </c>
      <c r="B236" t="str">
        <f t="shared" si="3"/>
        <v>Monday</v>
      </c>
      <c r="D236" s="1"/>
    </row>
    <row r="237" spans="1:5" x14ac:dyDescent="0.25">
      <c r="A237" s="1">
        <f>WORKDAY($E$3,232,Publicholiday[Correct Date])</f>
        <v>46000</v>
      </c>
      <c r="B237" t="str">
        <f t="shared" si="3"/>
        <v>Tuesday</v>
      </c>
      <c r="D237" s="1"/>
      <c r="E237" s="9"/>
    </row>
    <row r="238" spans="1:5" x14ac:dyDescent="0.25">
      <c r="A238" s="1">
        <f>WORKDAY($E$3,233,Publicholiday[Correct Date])</f>
        <v>46001</v>
      </c>
      <c r="B238" t="str">
        <f t="shared" si="3"/>
        <v>Wednesday</v>
      </c>
      <c r="D238" s="1"/>
    </row>
    <row r="239" spans="1:5" x14ac:dyDescent="0.25">
      <c r="A239" s="1">
        <f>WORKDAY($E$3,234,Publicholiday[Correct Date])</f>
        <v>46002</v>
      </c>
      <c r="B239" t="str">
        <f t="shared" si="3"/>
        <v>Thursday</v>
      </c>
      <c r="D239" s="1"/>
      <c r="E239" s="9"/>
    </row>
    <row r="240" spans="1:5" x14ac:dyDescent="0.25">
      <c r="A240" s="1">
        <f>WORKDAY($E$3,235,Publicholiday[Correct Date])</f>
        <v>46003</v>
      </c>
      <c r="B240" t="str">
        <f t="shared" si="3"/>
        <v>Friday</v>
      </c>
      <c r="D240" s="1"/>
    </row>
    <row r="241" spans="1:5" x14ac:dyDescent="0.25">
      <c r="A241" s="1">
        <f>WORKDAY($E$3,236,Publicholiday[Correct Date])</f>
        <v>46006</v>
      </c>
      <c r="B241" t="str">
        <f t="shared" si="3"/>
        <v>Monday</v>
      </c>
      <c r="D241" s="1"/>
      <c r="E241" s="9"/>
    </row>
    <row r="242" spans="1:5" x14ac:dyDescent="0.25">
      <c r="A242" s="1">
        <f>WORKDAY($E$3,237,Publicholiday[Correct Date])</f>
        <v>46007</v>
      </c>
      <c r="B242" t="str">
        <f t="shared" si="3"/>
        <v>Tuesday</v>
      </c>
      <c r="D242" s="1"/>
    </row>
    <row r="243" spans="1:5" x14ac:dyDescent="0.25">
      <c r="A243" s="1">
        <f>WORKDAY($E$3,238,Publicholiday[Correct Date])</f>
        <v>46008</v>
      </c>
      <c r="B243" t="str">
        <f t="shared" si="3"/>
        <v>Wednesday</v>
      </c>
      <c r="D243" s="1"/>
      <c r="E243" s="9"/>
    </row>
    <row r="244" spans="1:5" x14ac:dyDescent="0.25">
      <c r="A244" s="1">
        <f>WORKDAY($E$3,239,Publicholiday[Correct Date])</f>
        <v>46009</v>
      </c>
      <c r="B244" t="str">
        <f t="shared" si="3"/>
        <v>Thursday</v>
      </c>
      <c r="D244" s="1"/>
    </row>
    <row r="245" spans="1:5" x14ac:dyDescent="0.25">
      <c r="A245" s="1">
        <f>WORKDAY($E$3,240,Publicholiday[Correct Date])</f>
        <v>46010</v>
      </c>
      <c r="B245" t="str">
        <f t="shared" si="3"/>
        <v>Friday</v>
      </c>
      <c r="D245" s="1"/>
      <c r="E245" s="9"/>
    </row>
    <row r="246" spans="1:5" x14ac:dyDescent="0.25">
      <c r="A246" s="1">
        <f>WORKDAY($E$3,241,Publicholiday[Correct Date])</f>
        <v>46013</v>
      </c>
      <c r="B246" t="str">
        <f t="shared" si="3"/>
        <v>Monday</v>
      </c>
      <c r="D246" s="1"/>
    </row>
    <row r="247" spans="1:5" x14ac:dyDescent="0.25">
      <c r="A247" s="1">
        <f>WORKDAY($E$3,242,Publicholiday[Correct Date])</f>
        <v>46014</v>
      </c>
      <c r="B247" t="str">
        <f t="shared" si="3"/>
        <v>Tuesday</v>
      </c>
      <c r="D247" s="1"/>
      <c r="E247" s="9"/>
    </row>
    <row r="248" spans="1:5" x14ac:dyDescent="0.25">
      <c r="A248" s="1">
        <f>WORKDAY($E$3,243,Publicholiday[Correct Date])</f>
        <v>46015</v>
      </c>
      <c r="B248" t="str">
        <f t="shared" si="3"/>
        <v>Wednesday</v>
      </c>
      <c r="D248" s="1"/>
    </row>
    <row r="249" spans="1:5" x14ac:dyDescent="0.25">
      <c r="A249" s="1">
        <f>WORKDAY($E$3,244,Publicholiday[Correct Date])</f>
        <v>46020</v>
      </c>
      <c r="B249" t="str">
        <f t="shared" si="3"/>
        <v>Monday</v>
      </c>
      <c r="D249" s="1"/>
      <c r="E249" s="9"/>
    </row>
    <row r="250" spans="1:5" x14ac:dyDescent="0.25">
      <c r="A250" s="1">
        <f>WORKDAY($E$3,245,Publicholiday[Correct Date])</f>
        <v>46021</v>
      </c>
      <c r="B250" t="str">
        <f t="shared" si="3"/>
        <v>Tuesday</v>
      </c>
      <c r="D250" s="1"/>
    </row>
    <row r="251" spans="1:5" x14ac:dyDescent="0.25">
      <c r="A251" s="1">
        <f>WORKDAY($E$3,246,Publicholiday[Correct Date])</f>
        <v>46022</v>
      </c>
      <c r="B251" t="str">
        <f t="shared" si="3"/>
        <v>Wednesday</v>
      </c>
      <c r="D251" s="1"/>
      <c r="E251" s="9"/>
    </row>
    <row r="252" spans="1:5" hidden="1" x14ac:dyDescent="0.25">
      <c r="A252" s="1">
        <f>WORKDAY($E$3,247,Publicholiday[Correct Date])</f>
        <v>46023</v>
      </c>
      <c r="B252" t="str">
        <f t="shared" si="3"/>
        <v>Thursday</v>
      </c>
      <c r="D252" s="1"/>
    </row>
    <row r="253" spans="1:5" hidden="1" x14ac:dyDescent="0.25">
      <c r="A253" s="1">
        <f>WORKDAY($E$3,248,Publicholiday[Correct Date])</f>
        <v>46024</v>
      </c>
      <c r="B253" t="str">
        <f t="shared" si="3"/>
        <v>Friday</v>
      </c>
      <c r="D253" s="1"/>
      <c r="E253" s="9"/>
    </row>
    <row r="254" spans="1:5" hidden="1" x14ac:dyDescent="0.25">
      <c r="A254" s="1">
        <f>WORKDAY($E$3,249,Publicholiday[Correct Date])</f>
        <v>46027</v>
      </c>
      <c r="B254" t="str">
        <f t="shared" si="3"/>
        <v>Monday</v>
      </c>
      <c r="D254" s="1"/>
    </row>
    <row r="255" spans="1:5" hidden="1" x14ac:dyDescent="0.25">
      <c r="A255" s="1">
        <f>WORKDAY($E$3,250,Publicholiday[Correct Date])</f>
        <v>46028</v>
      </c>
      <c r="B255" t="str">
        <f t="shared" si="3"/>
        <v>Tuesday</v>
      </c>
      <c r="D255" s="1"/>
      <c r="E255" s="9"/>
    </row>
    <row r="256" spans="1:5" hidden="1" x14ac:dyDescent="0.25">
      <c r="A256" s="1">
        <f>WORKDAY($E$3,251,Publicholiday[Correct Date])</f>
        <v>46029</v>
      </c>
      <c r="B256" t="str">
        <f t="shared" si="3"/>
        <v>Wednesday</v>
      </c>
      <c r="D256" s="1"/>
    </row>
    <row r="257" spans="1:5" hidden="1" x14ac:dyDescent="0.25">
      <c r="A257" s="1">
        <f>WORKDAY($E$3,252,Publicholiday[Correct Date])</f>
        <v>46030</v>
      </c>
      <c r="B257" t="str">
        <f t="shared" si="3"/>
        <v>Thursday</v>
      </c>
      <c r="D257" s="1"/>
      <c r="E257" s="9"/>
    </row>
    <row r="258" spans="1:5" hidden="1" x14ac:dyDescent="0.25">
      <c r="A258" s="1">
        <f>WORKDAY($E$3,253,Publicholiday[Correct Date])</f>
        <v>46031</v>
      </c>
      <c r="B258" t="str">
        <f t="shared" si="3"/>
        <v>Friday</v>
      </c>
      <c r="D258" s="1"/>
    </row>
    <row r="259" spans="1:5" hidden="1" x14ac:dyDescent="0.25">
      <c r="A259" s="1">
        <f>WORKDAY($E$3,254,Publicholiday[Correct Date])</f>
        <v>46034</v>
      </c>
      <c r="B259" t="str">
        <f t="shared" si="3"/>
        <v>Monday</v>
      </c>
      <c r="D259" s="1"/>
      <c r="E259" s="9"/>
    </row>
    <row r="260" spans="1:5" hidden="1" x14ac:dyDescent="0.25">
      <c r="A260" s="1">
        <f>WORKDAY($E$3,255,Publicholiday[Correct Date])</f>
        <v>46035</v>
      </c>
      <c r="B260" t="str">
        <f t="shared" si="3"/>
        <v>Tuesday</v>
      </c>
      <c r="D260" s="1"/>
    </row>
    <row r="261" spans="1:5" hidden="1" x14ac:dyDescent="0.25">
      <c r="A261" s="1">
        <f>WORKDAY($E$3,256,Publicholiday[Correct Date])</f>
        <v>46036</v>
      </c>
      <c r="B261" t="str">
        <f t="shared" si="3"/>
        <v>Wednesday</v>
      </c>
      <c r="D261" s="1"/>
      <c r="E261" s="9"/>
    </row>
    <row r="262" spans="1:5" hidden="1" x14ac:dyDescent="0.25">
      <c r="A262" s="1">
        <f>WORKDAY($E$3,257,Publicholiday[Correct Date])</f>
        <v>46037</v>
      </c>
      <c r="B262" t="str">
        <f t="shared" si="3"/>
        <v>Thursday</v>
      </c>
      <c r="D262" s="1"/>
    </row>
    <row r="263" spans="1:5" hidden="1" x14ac:dyDescent="0.25">
      <c r="A263" s="1">
        <f>WORKDAY($E$3,258,Publicholiday[Correct Date])</f>
        <v>46038</v>
      </c>
      <c r="B263" t="str">
        <f t="shared" ref="B263:B265" si="4">TEXT(A263,"dddd")</f>
        <v>Friday</v>
      </c>
      <c r="D263" s="1"/>
      <c r="E263" s="9"/>
    </row>
    <row r="264" spans="1:5" hidden="1" x14ac:dyDescent="0.25">
      <c r="A264" s="1">
        <f>WORKDAY($E$3,259,Publicholiday[Correct Date])</f>
        <v>46041</v>
      </c>
      <c r="B264" t="str">
        <f t="shared" si="4"/>
        <v>Monday</v>
      </c>
      <c r="D264" s="1"/>
    </row>
    <row r="265" spans="1:5" hidden="1" x14ac:dyDescent="0.25">
      <c r="A265" s="1">
        <f>WORKDAY($E$3,260,Publicholiday[Correct Date])</f>
        <v>46042</v>
      </c>
      <c r="B265" t="str">
        <f t="shared" si="4"/>
        <v>Tuesday</v>
      </c>
      <c r="D265" s="1"/>
      <c r="E265" s="9"/>
    </row>
  </sheetData>
  <pageMargins left="0.7" right="0.7" top="0.75" bottom="0.75" header="0.3" footer="0.3"/>
  <pageSetup paperSize="9" orientation="portrait" horizontalDpi="0" verticalDpi="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70503-57A9-4295-8EA7-DCEBDBD6AAE9}">
  <sheetPr codeName="Sheet2"/>
  <dimension ref="A1:G18"/>
  <sheetViews>
    <sheetView zoomScale="85" zoomScaleNormal="85" workbookViewId="0">
      <selection sqref="A1:G18"/>
    </sheetView>
  </sheetViews>
  <sheetFormatPr defaultRowHeight="15" x14ac:dyDescent="0.25"/>
  <cols>
    <col min="1" max="1" width="58.28515625" bestFit="1" customWidth="1"/>
    <col min="2" max="2" width="11.140625" bestFit="1" customWidth="1"/>
    <col min="3" max="3" width="11.85546875" bestFit="1" customWidth="1"/>
    <col min="4" max="4" width="7.5703125" style="1" bestFit="1" customWidth="1"/>
    <col min="5" max="5" width="9.28515625" bestFit="1" customWidth="1"/>
    <col min="6" max="6" width="7.140625" style="1" bestFit="1" customWidth="1"/>
    <col min="7" max="7" width="14.28515625" bestFit="1" customWidth="1"/>
  </cols>
  <sheetData>
    <row r="1" spans="1:7" x14ac:dyDescent="0.25">
      <c r="A1" s="1" t="s">
        <v>0</v>
      </c>
      <c r="B1" t="s">
        <v>32</v>
      </c>
      <c r="C1" t="s">
        <v>33</v>
      </c>
      <c r="D1" s="1" t="s">
        <v>30</v>
      </c>
      <c r="E1" t="s">
        <v>31</v>
      </c>
      <c r="F1" t="s">
        <v>34</v>
      </c>
      <c r="G1" t="s">
        <v>35</v>
      </c>
    </row>
    <row r="2" spans="1:7" x14ac:dyDescent="0.25">
      <c r="A2" s="8" t="s">
        <v>1</v>
      </c>
      <c r="B2" s="1">
        <v>45658</v>
      </c>
      <c r="C2" s="9" t="s">
        <v>2</v>
      </c>
      <c r="D2" s="9" cm="1">
        <f t="array" ref="D2">Table3[Year (Change this value)]</f>
        <v>2025</v>
      </c>
      <c r="E2" s="1" t="str">
        <f>TEXT(Publicholiday[[#This Row],[Column2]],"mm")</f>
        <v>01</v>
      </c>
      <c r="F2" t="str">
        <f>TEXT(Publicholiday[[#This Row],[Column2]],"dd")</f>
        <v>01</v>
      </c>
      <c r="G2" s="1">
        <f>DATE(Publicholiday[[#This Row],[Year]],Publicholiday[[#This Row],[Month]],Publicholiday[[#This Row],[Day]])</f>
        <v>45658</v>
      </c>
    </row>
    <row r="3" spans="1:7" x14ac:dyDescent="0.25">
      <c r="A3" s="8" t="s">
        <v>3</v>
      </c>
      <c r="B3" s="1">
        <v>45686</v>
      </c>
      <c r="C3" s="9" t="s">
        <v>2</v>
      </c>
      <c r="D3" s="9" cm="1">
        <f t="array" ref="D3">Table3[Year (Change this value)]</f>
        <v>2025</v>
      </c>
      <c r="E3" s="1" t="str">
        <f>TEXT(Publicholiday[[#This Row],[Column2]],"mm")</f>
        <v>01</v>
      </c>
      <c r="F3" t="str">
        <f>TEXT(Publicholiday[[#This Row],[Column2]],"dd")</f>
        <v>29</v>
      </c>
      <c r="G3" s="1">
        <f>DATE(Publicholiday[[#This Row],[Year]],Publicholiday[[#This Row],[Month]],Publicholiday[[#This Row],[Day]])</f>
        <v>45686</v>
      </c>
    </row>
    <row r="4" spans="1:7" x14ac:dyDescent="0.25">
      <c r="A4" s="8" t="s">
        <v>36</v>
      </c>
      <c r="B4" s="1">
        <v>45687</v>
      </c>
      <c r="C4" s="9" t="s">
        <v>4</v>
      </c>
      <c r="D4" s="9" cm="1">
        <f t="array" ref="D4">Table3[Year (Change this value)]</f>
        <v>2025</v>
      </c>
      <c r="E4" s="1" t="str">
        <f>TEXT(Publicholiday[[#This Row],[Column2]],"mm")</f>
        <v>01</v>
      </c>
      <c r="F4" t="str">
        <f>TEXT(Publicholiday[[#This Row],[Column2]],"dd")</f>
        <v>30</v>
      </c>
      <c r="G4" s="1">
        <f>DATE(Publicholiday[[#This Row],[Year]],Publicholiday[[#This Row],[Month]],Publicholiday[[#This Row],[Day]])</f>
        <v>45687</v>
      </c>
    </row>
    <row r="5" spans="1:7" x14ac:dyDescent="0.25">
      <c r="A5" s="8" t="s">
        <v>5</v>
      </c>
      <c r="B5" s="1">
        <v>45688</v>
      </c>
      <c r="C5" s="9" t="s">
        <v>6</v>
      </c>
      <c r="D5" s="9" cm="1">
        <f t="array" ref="D5">Table3[Year (Change this value)]</f>
        <v>2025</v>
      </c>
      <c r="E5" s="1" t="str">
        <f>TEXT(Publicholiday[[#This Row],[Column2]],"mm")</f>
        <v>01</v>
      </c>
      <c r="F5" t="str">
        <f>TEXT(Publicholiday[[#This Row],[Column2]],"dd")</f>
        <v>31</v>
      </c>
      <c r="G5" s="1">
        <f>DATE(Publicholiday[[#This Row],[Year]],Publicholiday[[#This Row],[Month]],Publicholiday[[#This Row],[Day]])</f>
        <v>45688</v>
      </c>
    </row>
    <row r="6" spans="1:7" x14ac:dyDescent="0.25">
      <c r="A6" s="8" t="s">
        <v>7</v>
      </c>
      <c r="B6" s="1">
        <v>45751</v>
      </c>
      <c r="C6" s="9" t="s">
        <v>6</v>
      </c>
      <c r="D6" s="9" cm="1">
        <f t="array" ref="D6">Table3[Year (Change this value)]</f>
        <v>2025</v>
      </c>
      <c r="E6" s="1" t="str">
        <f>TEXT(Publicholiday[[#This Row],[Column2]],"mm")</f>
        <v>04</v>
      </c>
      <c r="F6" t="str">
        <f>TEXT(Publicholiday[[#This Row],[Column2]],"dd")</f>
        <v>04</v>
      </c>
      <c r="G6" s="1">
        <f>DATE(Publicholiday[[#This Row],[Year]],Publicholiday[[#This Row],[Month]],Publicholiday[[#This Row],[Day]])</f>
        <v>45751</v>
      </c>
    </row>
    <row r="7" spans="1:7" x14ac:dyDescent="0.25">
      <c r="A7" s="8" t="s">
        <v>8</v>
      </c>
      <c r="B7" s="1">
        <v>45765</v>
      </c>
      <c r="C7" s="9" t="s">
        <v>6</v>
      </c>
      <c r="D7" s="9" cm="1">
        <f t="array" ref="D7">Table3[Year (Change this value)]</f>
        <v>2025</v>
      </c>
      <c r="E7" s="1" t="str">
        <f>TEXT(Publicholiday[[#This Row],[Column2]],"mm")</f>
        <v>04</v>
      </c>
      <c r="F7" t="str">
        <f>TEXT(Publicholiday[[#This Row],[Column2]],"dd")</f>
        <v>18</v>
      </c>
      <c r="G7" s="1">
        <f>DATE(Publicholiday[[#This Row],[Year]],Publicholiday[[#This Row],[Month]],Publicholiday[[#This Row],[Day]])</f>
        <v>45765</v>
      </c>
    </row>
    <row r="8" spans="1:7" x14ac:dyDescent="0.25">
      <c r="A8" s="8" t="s">
        <v>9</v>
      </c>
      <c r="B8" s="1">
        <v>45766</v>
      </c>
      <c r="C8" s="9" t="s">
        <v>10</v>
      </c>
      <c r="D8" s="9" cm="1">
        <f t="array" ref="D8">Table3[Year (Change this value)]</f>
        <v>2025</v>
      </c>
      <c r="E8" s="1" t="str">
        <f>TEXT(Publicholiday[[#This Row],[Column2]],"mm")</f>
        <v>04</v>
      </c>
      <c r="F8" t="str">
        <f>TEXT(Publicholiday[[#This Row],[Column2]],"dd")</f>
        <v>19</v>
      </c>
      <c r="G8" s="1">
        <f>DATE(Publicholiday[[#This Row],[Year]],Publicholiday[[#This Row],[Month]],Publicholiday[[#This Row],[Day]])</f>
        <v>45766</v>
      </c>
    </row>
    <row r="9" spans="1:7" x14ac:dyDescent="0.25">
      <c r="A9" s="8" t="s">
        <v>11</v>
      </c>
      <c r="B9" s="1">
        <v>45768</v>
      </c>
      <c r="C9" s="9" t="s">
        <v>12</v>
      </c>
      <c r="D9" s="9" cm="1">
        <f t="array" ref="D9">Table3[Year (Change this value)]</f>
        <v>2025</v>
      </c>
      <c r="E9" s="1" t="str">
        <f>TEXT(Publicholiday[[#This Row],[Column2]],"mm")</f>
        <v>04</v>
      </c>
      <c r="F9" t="str">
        <f>TEXT(Publicholiday[[#This Row],[Column2]],"dd")</f>
        <v>21</v>
      </c>
      <c r="G9" s="1">
        <f>DATE(Publicholiday[[#This Row],[Year]],Publicholiday[[#This Row],[Month]],Publicholiday[[#This Row],[Day]])</f>
        <v>45768</v>
      </c>
    </row>
    <row r="10" spans="1:7" x14ac:dyDescent="0.25">
      <c r="A10" s="8" t="s">
        <v>13</v>
      </c>
      <c r="B10" s="1">
        <v>45778</v>
      </c>
      <c r="C10" s="9" t="s">
        <v>4</v>
      </c>
      <c r="D10" s="9" cm="1">
        <f t="array" ref="D10">Table3[Year (Change this value)]</f>
        <v>2025</v>
      </c>
      <c r="E10" s="1" t="str">
        <f>TEXT(Publicholiday[[#This Row],[Column2]],"mm")</f>
        <v>05</v>
      </c>
      <c r="F10" t="str">
        <f>TEXT(Publicholiday[[#This Row],[Column2]],"dd")</f>
        <v>01</v>
      </c>
      <c r="G10" s="1">
        <f>DATE(Publicholiday[[#This Row],[Year]],Publicholiday[[#This Row],[Month]],Publicholiday[[#This Row],[Day]])</f>
        <v>45778</v>
      </c>
    </row>
    <row r="11" spans="1:7" x14ac:dyDescent="0.25">
      <c r="A11" s="8" t="s">
        <v>14</v>
      </c>
      <c r="B11" s="1">
        <v>45782</v>
      </c>
      <c r="C11" s="9" t="s">
        <v>12</v>
      </c>
      <c r="D11" s="9" cm="1">
        <f t="array" ref="D11">Table3[Year (Change this value)]</f>
        <v>2025</v>
      </c>
      <c r="E11" s="1" t="str">
        <f>TEXT(Publicholiday[[#This Row],[Column2]],"mm")</f>
        <v>05</v>
      </c>
      <c r="F11" t="str">
        <f>TEXT(Publicholiday[[#This Row],[Column2]],"dd")</f>
        <v>05</v>
      </c>
      <c r="G11" s="1">
        <f>DATE(Publicholiday[[#This Row],[Year]],Publicholiday[[#This Row],[Month]],Publicholiday[[#This Row],[Day]])</f>
        <v>45782</v>
      </c>
    </row>
    <row r="12" spans="1:7" x14ac:dyDescent="0.25">
      <c r="A12" s="8" t="s">
        <v>15</v>
      </c>
      <c r="B12" s="1">
        <v>45808</v>
      </c>
      <c r="C12" s="9" t="s">
        <v>10</v>
      </c>
      <c r="D12" s="9" cm="1">
        <f t="array" ref="D12">Table3[Year (Change this value)]</f>
        <v>2025</v>
      </c>
      <c r="E12" s="1" t="str">
        <f>TEXT(Publicholiday[[#This Row],[Column2]],"mm")</f>
        <v>05</v>
      </c>
      <c r="F12" t="str">
        <f>TEXT(Publicholiday[[#This Row],[Column2]],"dd")</f>
        <v>31</v>
      </c>
      <c r="G12" s="1">
        <f>DATE(Publicholiday[[#This Row],[Year]],Publicholiday[[#This Row],[Month]],Publicholiday[[#This Row],[Day]])</f>
        <v>45808</v>
      </c>
    </row>
    <row r="13" spans="1:7" x14ac:dyDescent="0.25">
      <c r="A13" s="8" t="s">
        <v>16</v>
      </c>
      <c r="B13" s="1">
        <v>45839</v>
      </c>
      <c r="C13" s="9" t="s">
        <v>17</v>
      </c>
      <c r="D13" s="9" cm="1">
        <f t="array" ref="D13">Table3[Year (Change this value)]</f>
        <v>2025</v>
      </c>
      <c r="E13" s="1" t="str">
        <f>TEXT(Publicholiday[[#This Row],[Column2]],"mm")</f>
        <v>07</v>
      </c>
      <c r="F13" t="str">
        <f>TEXT(Publicholiday[[#This Row],[Column2]],"dd")</f>
        <v>01</v>
      </c>
      <c r="G13" s="1">
        <f>DATE(Publicholiday[[#This Row],[Year]],Publicholiday[[#This Row],[Month]],Publicholiday[[#This Row],[Day]])</f>
        <v>45839</v>
      </c>
    </row>
    <row r="14" spans="1:7" x14ac:dyDescent="0.25">
      <c r="A14" s="8" t="s">
        <v>18</v>
      </c>
      <c r="B14" s="1">
        <v>45931</v>
      </c>
      <c r="C14" s="9" t="s">
        <v>2</v>
      </c>
      <c r="D14" s="9" cm="1">
        <f t="array" ref="D14">Table3[Year (Change this value)]</f>
        <v>2025</v>
      </c>
      <c r="E14" s="1" t="str">
        <f>TEXT(Publicholiday[[#This Row],[Column2]],"mm")</f>
        <v>10</v>
      </c>
      <c r="F14" t="str">
        <f>TEXT(Publicholiday[[#This Row],[Column2]],"dd")</f>
        <v>01</v>
      </c>
      <c r="G14" s="1">
        <f>DATE(Publicholiday[[#This Row],[Year]],Publicholiday[[#This Row],[Month]],Publicholiday[[#This Row],[Day]])</f>
        <v>45931</v>
      </c>
    </row>
    <row r="15" spans="1:7" x14ac:dyDescent="0.25">
      <c r="A15" s="8" t="s">
        <v>19</v>
      </c>
      <c r="B15" s="1">
        <v>45937</v>
      </c>
      <c r="C15" s="9" t="s">
        <v>17</v>
      </c>
      <c r="D15" s="9" cm="1">
        <f t="array" ref="D15">Table3[Year (Change this value)]</f>
        <v>2025</v>
      </c>
      <c r="E15" s="1" t="str">
        <f>TEXT(Publicholiday[[#This Row],[Column2]],"mm")</f>
        <v>10</v>
      </c>
      <c r="F15" t="str">
        <f>TEXT(Publicholiday[[#This Row],[Column2]],"dd")</f>
        <v>07</v>
      </c>
      <c r="G15" s="1">
        <f>DATE(Publicholiday[[#This Row],[Year]],Publicholiday[[#This Row],[Month]],Publicholiday[[#This Row],[Day]])</f>
        <v>45937</v>
      </c>
    </row>
    <row r="16" spans="1:7" x14ac:dyDescent="0.25">
      <c r="A16" s="8" t="s">
        <v>20</v>
      </c>
      <c r="B16" s="1">
        <v>45959</v>
      </c>
      <c r="C16" s="9" t="s">
        <v>2</v>
      </c>
      <c r="D16" s="9" cm="1">
        <f t="array" ref="D16">Table3[Year (Change this value)]</f>
        <v>2025</v>
      </c>
      <c r="E16" s="1" t="str">
        <f>TEXT(Publicholiday[[#This Row],[Column2]],"mm")</f>
        <v>10</v>
      </c>
      <c r="F16" t="str">
        <f>TEXT(Publicholiday[[#This Row],[Column2]],"dd")</f>
        <v>29</v>
      </c>
      <c r="G16" s="1">
        <f>DATE(Publicholiday[[#This Row],[Year]],Publicholiday[[#This Row],[Month]],Publicholiday[[#This Row],[Day]])</f>
        <v>45959</v>
      </c>
    </row>
    <row r="17" spans="1:7" x14ac:dyDescent="0.25">
      <c r="A17" s="8" t="s">
        <v>21</v>
      </c>
      <c r="B17" s="1">
        <v>46016</v>
      </c>
      <c r="C17" s="9" t="s">
        <v>4</v>
      </c>
      <c r="D17" s="9" cm="1">
        <f t="array" ref="D17">Table3[Year (Change this value)]</f>
        <v>2025</v>
      </c>
      <c r="E17" s="1" t="str">
        <f>TEXT(Publicholiday[[#This Row],[Column2]],"mm")</f>
        <v>12</v>
      </c>
      <c r="F17" t="str">
        <f>TEXT(Publicholiday[[#This Row],[Column2]],"dd")</f>
        <v>25</v>
      </c>
      <c r="G17" s="1">
        <f>DATE(Publicholiday[[#This Row],[Year]],Publicholiday[[#This Row],[Month]],Publicholiday[[#This Row],[Day]])</f>
        <v>46016</v>
      </c>
    </row>
    <row r="18" spans="1:7" x14ac:dyDescent="0.25">
      <c r="A18" s="8" t="s">
        <v>22</v>
      </c>
      <c r="B18" s="1">
        <v>46017</v>
      </c>
      <c r="C18" s="9" t="s">
        <v>6</v>
      </c>
      <c r="D18" s="9" cm="1">
        <f t="array" ref="D18">Table3[Year (Change this value)]</f>
        <v>2025</v>
      </c>
      <c r="E18" s="1" t="str">
        <f>TEXT(Publicholiday[[#This Row],[Column2]],"mm")</f>
        <v>12</v>
      </c>
      <c r="F18" t="str">
        <f>TEXT(Publicholiday[[#This Row],[Column2]],"dd")</f>
        <v>26</v>
      </c>
      <c r="G18" s="1">
        <f>DATE(Publicholiday[[#This Row],[Year]],Publicholiday[[#This Row],[Month]],Publicholiday[[#This Row],[Day]])</f>
        <v>46017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3862C3F-62D4-473F-AC38-9553EC69F3D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Workday</vt:lpstr>
      <vt:lpstr>Public holiday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Chong</dc:creator>
  <cp:lastModifiedBy>Tom Chong</cp:lastModifiedBy>
  <dcterms:created xsi:type="dcterms:W3CDTF">2025-02-12T18:17:21Z</dcterms:created>
  <dcterms:modified xsi:type="dcterms:W3CDTF">2025-02-17T17:47:47Z</dcterms:modified>
</cp:coreProperties>
</file>